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7318a75d5e1d863/Documents/"/>
    </mc:Choice>
  </mc:AlternateContent>
  <xr:revisionPtr revIDLastSave="1162" documentId="8_{DF064D67-BC0F-4AB6-9AAF-18474856F6AF}" xr6:coauthVersionLast="47" xr6:coauthVersionMax="47" xr10:uidLastSave="{DA69ABB2-D258-4F2F-A6E3-0BE805271114}"/>
  <bookViews>
    <workbookView xWindow="-120" yWindow="-120" windowWidth="20730" windowHeight="11040" firstSheet="19" activeTab="23" xr2:uid="{00000000-000D-0000-FFFF-FFFF00000000}"/>
  </bookViews>
  <sheets>
    <sheet name="2.1" sheetId="7" r:id="rId1"/>
    <sheet name="2.3" sheetId="8" r:id="rId2"/>
    <sheet name="2,2" sheetId="9" r:id="rId3"/>
    <sheet name="4.1" sheetId="10" r:id="rId4"/>
    <sheet name="4.2" sheetId="11" r:id="rId5"/>
    <sheet name="total revenue" sheetId="12" r:id="rId6"/>
    <sheet name="% fast delivery" sheetId="13" r:id="rId7"/>
    <sheet name="Detail1" sheetId="30" r:id="rId8"/>
    <sheet name="top 3" sheetId="14" r:id="rId9"/>
    <sheet name="highest selling" sheetId="15" r:id="rId10"/>
    <sheet name="Sheet1" sheetId="16" r:id="rId11"/>
    <sheet name="Sheet8" sheetId="26" r:id="rId12"/>
    <sheet name="SHEET 2" sheetId="17" r:id="rId13"/>
    <sheet name="Product Master" sheetId="4" r:id="rId14"/>
    <sheet name="Sheet4" sheetId="18" r:id="rId15"/>
    <sheet name="Sheet6" sheetId="20" r:id="rId16"/>
    <sheet name="Sheet2" sheetId="22" r:id="rId17"/>
    <sheet name="5.3" sheetId="23" r:id="rId18"/>
    <sheet name="Sheet3" sheetId="31" r:id="rId19"/>
    <sheet name="Sheet9" sheetId="34" r:id="rId20"/>
    <sheet name="Orders" sheetId="3" r:id="rId21"/>
    <sheet name="Region Master" sheetId="5" r:id="rId22"/>
    <sheet name="Customer Master" sheetId="6" r:id="rId23"/>
    <sheet name="DASHBOARD" sheetId="21" r:id="rId24"/>
    <sheet name="Sheet7" sheetId="33" r:id="rId25"/>
    <sheet name="Sheet5" sheetId="32" r:id="rId26"/>
  </sheets>
  <definedNames>
    <definedName name="_xlnm._FilterDatabase" localSheetId="20" hidden="1">Orders!$A$1:$Q$101</definedName>
    <definedName name="Slicer_Customer_ID">#N/A</definedName>
    <definedName name="Slicer_Delivery_Status">#N/A</definedName>
    <definedName name="Slicer_Payment_Method">#N/A</definedName>
    <definedName name="Slicer_Product_name">#N/A</definedName>
    <definedName name="Slicer_Region">#N/A</definedName>
  </definedNames>
  <calcPr calcId="191029"/>
  <pivotCaches>
    <pivotCache cacheId="0" r:id="rId27"/>
    <pivotCache cacheId="1" r:id="rId28"/>
    <pivotCache cacheId="2" r:id="rId29"/>
    <pivotCache cacheId="6" r:id="rId30"/>
    <pivotCache cacheId="4" r:id="rId31"/>
  </pivotCaches>
  <extLst>
    <ext xmlns:x14="http://schemas.microsoft.com/office/spreadsheetml/2009/9/main" uri="{BBE1A952-AA13-448e-AADC-164F8A28A991}">
      <x14:slicerCaches>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9" i="21" l="1"/>
  <c r="Z28" i="21"/>
  <c r="Z27" i="21"/>
  <c r="AM26" i="21"/>
  <c r="D3" i="26"/>
  <c r="D4" i="26"/>
  <c r="D5" i="26"/>
  <c r="D6" i="26"/>
  <c r="C3" i="26"/>
  <c r="C4" i="26"/>
  <c r="C5" i="26"/>
  <c r="C6" i="26"/>
  <c r="D2" i="26"/>
  <c r="C2" i="26"/>
  <c r="N2" i="3"/>
  <c r="O2" i="3"/>
  <c r="P2" i="3"/>
  <c r="R2" i="3" s="1" a="1"/>
  <c r="R2" i="3" s="1"/>
  <c r="Q2" i="3"/>
  <c r="S2" i="3"/>
  <c r="N3" i="3"/>
  <c r="O3" i="3"/>
  <c r="P3" i="3"/>
  <c r="R3" i="3" s="1" a="1"/>
  <c r="R3" i="3" s="1"/>
  <c r="Q3" i="3"/>
  <c r="S3" i="3"/>
  <c r="N4" i="3"/>
  <c r="O4" i="3"/>
  <c r="P4" i="3"/>
  <c r="R4" i="3" s="1" a="1"/>
  <c r="R4" i="3" s="1"/>
  <c r="Q4" i="3"/>
  <c r="S4" i="3"/>
  <c r="N5" i="3"/>
  <c r="O5" i="3"/>
  <c r="P5" i="3"/>
  <c r="R5" i="3" s="1" a="1"/>
  <c r="R5" i="3" s="1"/>
  <c r="Q5" i="3"/>
  <c r="S5" i="3"/>
  <c r="N6" i="3"/>
  <c r="O6" i="3"/>
  <c r="P6" i="3"/>
  <c r="R6" i="3" s="1" a="1"/>
  <c r="R6" i="3" s="1"/>
  <c r="Q6" i="3"/>
  <c r="S6" i="3"/>
  <c r="N7" i="3"/>
  <c r="O7" i="3"/>
  <c r="P7" i="3"/>
  <c r="R7" i="3" s="1" a="1"/>
  <c r="R7" i="3" s="1"/>
  <c r="Q7" i="3"/>
  <c r="S7" i="3"/>
  <c r="N8" i="3"/>
  <c r="O8" i="3"/>
  <c r="P8" i="3"/>
  <c r="R8" i="3" s="1" a="1"/>
  <c r="R8" i="3" s="1"/>
  <c r="Q8" i="3"/>
  <c r="S8" i="3"/>
  <c r="N9" i="3"/>
  <c r="O9" i="3"/>
  <c r="P9" i="3"/>
  <c r="Q9" i="3"/>
  <c r="R9" i="3" a="1"/>
  <c r="R9" i="3" s="1"/>
  <c r="S9" i="3"/>
  <c r="N10" i="3"/>
  <c r="O10" i="3"/>
  <c r="P10" i="3"/>
  <c r="R10" i="3" s="1" a="1"/>
  <c r="R10" i="3" s="1"/>
  <c r="Q10" i="3"/>
  <c r="S10" i="3"/>
  <c r="N11" i="3"/>
  <c r="O11" i="3"/>
  <c r="P11" i="3"/>
  <c r="R11" i="3" s="1" a="1"/>
  <c r="R11" i="3" s="1"/>
  <c r="Q11" i="3"/>
  <c r="S11" i="3"/>
  <c r="N12" i="3"/>
  <c r="O12" i="3"/>
  <c r="P12" i="3"/>
  <c r="Q12" i="3"/>
  <c r="R12" i="3" a="1"/>
  <c r="R12" i="3" s="1"/>
  <c r="S12" i="3"/>
  <c r="N13" i="3"/>
  <c r="O13" i="3"/>
  <c r="P13" i="3"/>
  <c r="R13" i="3" s="1" a="1"/>
  <c r="R13" i="3" s="1"/>
  <c r="Q13" i="3"/>
  <c r="S13" i="3"/>
  <c r="N14" i="3"/>
  <c r="O14" i="3"/>
  <c r="P14" i="3"/>
  <c r="R14" i="3" s="1" a="1"/>
  <c r="R14" i="3" s="1"/>
  <c r="Q14" i="3"/>
  <c r="S14" i="3"/>
  <c r="N15" i="3"/>
  <c r="O15" i="3"/>
  <c r="P15" i="3"/>
  <c r="R15" i="3" s="1" a="1"/>
  <c r="R15" i="3" s="1"/>
  <c r="Q15" i="3"/>
  <c r="S15" i="3"/>
  <c r="N16" i="3"/>
  <c r="O16" i="3"/>
  <c r="P16" i="3"/>
  <c r="Q16" i="3"/>
  <c r="R16" i="3" a="1"/>
  <c r="R16" i="3"/>
  <c r="S16" i="3"/>
  <c r="N17" i="3"/>
  <c r="O17" i="3"/>
  <c r="P17" i="3"/>
  <c r="Q17" i="3"/>
  <c r="R17" i="3" a="1"/>
  <c r="R17" i="3" s="1"/>
  <c r="S17" i="3"/>
  <c r="N18" i="3"/>
  <c r="O18" i="3"/>
  <c r="P18" i="3"/>
  <c r="R18" i="3" s="1" a="1"/>
  <c r="R18" i="3" s="1"/>
  <c r="Q18" i="3"/>
  <c r="S18" i="3"/>
  <c r="N19" i="3"/>
  <c r="O19" i="3"/>
  <c r="P19" i="3"/>
  <c r="R19" i="3" s="1" a="1"/>
  <c r="R19" i="3" s="1"/>
  <c r="Q19" i="3"/>
  <c r="S19" i="3"/>
  <c r="N20" i="3"/>
  <c r="O20" i="3"/>
  <c r="P20" i="3"/>
  <c r="Q20" i="3"/>
  <c r="R20" i="3" a="1"/>
  <c r="R20" i="3" s="1"/>
  <c r="S20" i="3"/>
  <c r="N21" i="3"/>
  <c r="O21" i="3"/>
  <c r="P21" i="3"/>
  <c r="R21" i="3" s="1" a="1"/>
  <c r="R21" i="3" s="1"/>
  <c r="Q21" i="3"/>
  <c r="S21" i="3"/>
  <c r="N22" i="3"/>
  <c r="O22" i="3"/>
  <c r="P22" i="3"/>
  <c r="R22" i="3" s="1" a="1"/>
  <c r="R22" i="3" s="1"/>
  <c r="Q22" i="3"/>
  <c r="S22" i="3"/>
  <c r="N23" i="3"/>
  <c r="O23" i="3"/>
  <c r="P23" i="3"/>
  <c r="R23" i="3" s="1" a="1"/>
  <c r="R23" i="3" s="1"/>
  <c r="Q23" i="3"/>
  <c r="S23" i="3"/>
  <c r="N24" i="3"/>
  <c r="O24" i="3"/>
  <c r="P24" i="3"/>
  <c r="Q24" i="3"/>
  <c r="R24" i="3" a="1"/>
  <c r="R24" i="3"/>
  <c r="S24" i="3"/>
  <c r="N25" i="3"/>
  <c r="O25" i="3"/>
  <c r="P25" i="3"/>
  <c r="Q25" i="3"/>
  <c r="R25" i="3" a="1"/>
  <c r="R25" i="3" s="1"/>
  <c r="S25" i="3"/>
  <c r="N26" i="3"/>
  <c r="O26" i="3"/>
  <c r="P26" i="3"/>
  <c r="R26" i="3" s="1" a="1"/>
  <c r="R26" i="3" s="1"/>
  <c r="Q26" i="3"/>
  <c r="S26" i="3"/>
  <c r="N27" i="3"/>
  <c r="O27" i="3"/>
  <c r="P27" i="3"/>
  <c r="R27" i="3" s="1" a="1"/>
  <c r="R27" i="3" s="1"/>
  <c r="Q27" i="3"/>
  <c r="S27" i="3"/>
  <c r="N28" i="3"/>
  <c r="O28" i="3"/>
  <c r="P28" i="3"/>
  <c r="Q28" i="3"/>
  <c r="R28" i="3" a="1"/>
  <c r="R28" i="3" s="1"/>
  <c r="S28" i="3"/>
  <c r="N29" i="3"/>
  <c r="O29" i="3"/>
  <c r="P29" i="3"/>
  <c r="R29" i="3" s="1" a="1"/>
  <c r="R29" i="3" s="1"/>
  <c r="Q29" i="3"/>
  <c r="S29" i="3"/>
  <c r="N30" i="3"/>
  <c r="O30" i="3"/>
  <c r="P30" i="3"/>
  <c r="R30" i="3" s="1" a="1"/>
  <c r="R30" i="3" s="1"/>
  <c r="Q30" i="3"/>
  <c r="S30" i="3"/>
  <c r="N31" i="3"/>
  <c r="O31" i="3"/>
  <c r="P31" i="3"/>
  <c r="R31" i="3" s="1" a="1"/>
  <c r="R31" i="3" s="1"/>
  <c r="Q31" i="3"/>
  <c r="S31" i="3"/>
  <c r="N32" i="3"/>
  <c r="O32" i="3"/>
  <c r="P32" i="3"/>
  <c r="Q32" i="3"/>
  <c r="R32" i="3" a="1"/>
  <c r="R32" i="3"/>
  <c r="S32" i="3"/>
  <c r="N33" i="3"/>
  <c r="O33" i="3"/>
  <c r="P33" i="3"/>
  <c r="Q33" i="3"/>
  <c r="R33" i="3" a="1"/>
  <c r="R33" i="3" s="1"/>
  <c r="S33" i="3"/>
  <c r="N34" i="3"/>
  <c r="O34" i="3"/>
  <c r="P34" i="3"/>
  <c r="R34" i="3" s="1" a="1"/>
  <c r="R34" i="3" s="1"/>
  <c r="Q34" i="3"/>
  <c r="S34" i="3"/>
  <c r="N35" i="3"/>
  <c r="O35" i="3"/>
  <c r="P35" i="3"/>
  <c r="R35" i="3" s="1" a="1"/>
  <c r="R35" i="3" s="1"/>
  <c r="Q35" i="3"/>
  <c r="S35" i="3"/>
  <c r="N36" i="3"/>
  <c r="O36" i="3"/>
  <c r="P36" i="3"/>
  <c r="Q36" i="3"/>
  <c r="R36" i="3" a="1"/>
  <c r="R36" i="3" s="1"/>
  <c r="S36" i="3"/>
  <c r="N37" i="3"/>
  <c r="O37" i="3"/>
  <c r="P37" i="3"/>
  <c r="R37" i="3" s="1" a="1"/>
  <c r="R37" i="3" s="1"/>
  <c r="Q37" i="3"/>
  <c r="S37" i="3"/>
  <c r="N38" i="3"/>
  <c r="O38" i="3"/>
  <c r="P38" i="3"/>
  <c r="R38" i="3" s="1" a="1"/>
  <c r="R38" i="3" s="1"/>
  <c r="Q38" i="3"/>
  <c r="S38" i="3"/>
  <c r="N39" i="3"/>
  <c r="O39" i="3"/>
  <c r="P39" i="3"/>
  <c r="R39" i="3" s="1" a="1"/>
  <c r="R39" i="3" s="1"/>
  <c r="Q39" i="3"/>
  <c r="S39" i="3"/>
  <c r="N40" i="3"/>
  <c r="O40" i="3"/>
  <c r="P40" i="3"/>
  <c r="Q40" i="3"/>
  <c r="R40" i="3" a="1"/>
  <c r="R40" i="3"/>
  <c r="S40" i="3"/>
  <c r="N41" i="3"/>
  <c r="O41" i="3"/>
  <c r="P41" i="3"/>
  <c r="Q41" i="3"/>
  <c r="R41" i="3" a="1"/>
  <c r="R41" i="3" s="1"/>
  <c r="S41" i="3"/>
  <c r="N42" i="3"/>
  <c r="O42" i="3"/>
  <c r="P42" i="3"/>
  <c r="R42" i="3" s="1" a="1"/>
  <c r="R42" i="3" s="1"/>
  <c r="Q42" i="3"/>
  <c r="S42" i="3"/>
  <c r="N43" i="3"/>
  <c r="O43" i="3"/>
  <c r="P43" i="3"/>
  <c r="R43" i="3" s="1" a="1"/>
  <c r="R43" i="3" s="1"/>
  <c r="Q43" i="3"/>
  <c r="S43" i="3"/>
  <c r="N44" i="3"/>
  <c r="O44" i="3"/>
  <c r="P44" i="3"/>
  <c r="Q44" i="3"/>
  <c r="R44" i="3" a="1"/>
  <c r="R44" i="3" s="1"/>
  <c r="S44" i="3"/>
  <c r="N45" i="3"/>
  <c r="O45" i="3"/>
  <c r="P45" i="3"/>
  <c r="R45" i="3" s="1" a="1"/>
  <c r="R45" i="3" s="1"/>
  <c r="Q45" i="3"/>
  <c r="S45" i="3"/>
  <c r="N46" i="3"/>
  <c r="O46" i="3"/>
  <c r="P46" i="3"/>
  <c r="R46" i="3" s="1" a="1"/>
  <c r="R46" i="3" s="1"/>
  <c r="Q46" i="3"/>
  <c r="S46" i="3"/>
  <c r="N47" i="3"/>
  <c r="O47" i="3"/>
  <c r="P47" i="3"/>
  <c r="R47" i="3" s="1" a="1"/>
  <c r="R47" i="3" s="1"/>
  <c r="Q47" i="3"/>
  <c r="S47" i="3"/>
  <c r="N48" i="3"/>
  <c r="O48" i="3"/>
  <c r="P48" i="3"/>
  <c r="Q48" i="3"/>
  <c r="R48" i="3" a="1"/>
  <c r="R48" i="3"/>
  <c r="S48" i="3"/>
  <c r="N49" i="3"/>
  <c r="O49" i="3"/>
  <c r="P49" i="3"/>
  <c r="Q49" i="3"/>
  <c r="R49" i="3" a="1"/>
  <c r="R49" i="3" s="1"/>
  <c r="S49" i="3"/>
  <c r="N50" i="3"/>
  <c r="O50" i="3"/>
  <c r="P50" i="3"/>
  <c r="R50" i="3" s="1" a="1"/>
  <c r="R50" i="3" s="1"/>
  <c r="Q50" i="3"/>
  <c r="S50" i="3"/>
  <c r="N51" i="3"/>
  <c r="O51" i="3"/>
  <c r="P51" i="3"/>
  <c r="R51" i="3" s="1" a="1"/>
  <c r="R51" i="3" s="1"/>
  <c r="Q51" i="3"/>
  <c r="S51" i="3"/>
  <c r="N52" i="3"/>
  <c r="O52" i="3"/>
  <c r="P52" i="3"/>
  <c r="Q52" i="3"/>
  <c r="R52" i="3" a="1"/>
  <c r="R52" i="3" s="1"/>
  <c r="S52" i="3"/>
  <c r="N53" i="3"/>
  <c r="O53" i="3"/>
  <c r="P53" i="3"/>
  <c r="R53" i="3" s="1" a="1"/>
  <c r="R53" i="3" s="1"/>
  <c r="Q53" i="3"/>
  <c r="S53" i="3"/>
  <c r="N54" i="3"/>
  <c r="O54" i="3"/>
  <c r="P54" i="3"/>
  <c r="R54" i="3" s="1" a="1"/>
  <c r="R54" i="3" s="1"/>
  <c r="Q54" i="3"/>
  <c r="S54" i="3"/>
  <c r="N55" i="3"/>
  <c r="O55" i="3"/>
  <c r="P55" i="3"/>
  <c r="R55" i="3" s="1" a="1"/>
  <c r="R55" i="3" s="1"/>
  <c r="Q55" i="3"/>
  <c r="S55" i="3"/>
  <c r="N56" i="3"/>
  <c r="O56" i="3"/>
  <c r="P56" i="3"/>
  <c r="Q56" i="3"/>
  <c r="R56" i="3" a="1"/>
  <c r="R56" i="3"/>
  <c r="S56" i="3"/>
  <c r="N57" i="3"/>
  <c r="O57" i="3"/>
  <c r="P57" i="3"/>
  <c r="Q57" i="3"/>
  <c r="R57" i="3" a="1"/>
  <c r="R57" i="3" s="1"/>
  <c r="S57" i="3"/>
  <c r="N58" i="3"/>
  <c r="O58" i="3"/>
  <c r="P58" i="3"/>
  <c r="R58" i="3" s="1" a="1"/>
  <c r="R58" i="3" s="1"/>
  <c r="Q58" i="3"/>
  <c r="S58" i="3"/>
  <c r="N59" i="3"/>
  <c r="O59" i="3"/>
  <c r="P59" i="3"/>
  <c r="R59" i="3" s="1" a="1"/>
  <c r="R59" i="3" s="1"/>
  <c r="Q59" i="3"/>
  <c r="S59" i="3"/>
  <c r="N60" i="3"/>
  <c r="O60" i="3"/>
  <c r="P60" i="3"/>
  <c r="Q60" i="3"/>
  <c r="R60" i="3" a="1"/>
  <c r="R60" i="3" s="1"/>
  <c r="S60" i="3"/>
  <c r="N61" i="3"/>
  <c r="O61" i="3"/>
  <c r="P61" i="3"/>
  <c r="R61" i="3" s="1" a="1"/>
  <c r="R61" i="3" s="1"/>
  <c r="Q61" i="3"/>
  <c r="S61" i="3"/>
  <c r="N62" i="3"/>
  <c r="O62" i="3"/>
  <c r="P62" i="3"/>
  <c r="R62" i="3" s="1" a="1"/>
  <c r="R62" i="3" s="1"/>
  <c r="Q62" i="3"/>
  <c r="S62" i="3"/>
  <c r="N63" i="3"/>
  <c r="O63" i="3"/>
  <c r="P63" i="3"/>
  <c r="R63" i="3" s="1" a="1"/>
  <c r="R63" i="3" s="1"/>
  <c r="Q63" i="3"/>
  <c r="S63" i="3"/>
  <c r="N64" i="3"/>
  <c r="O64" i="3"/>
  <c r="P64" i="3"/>
  <c r="Q64" i="3"/>
  <c r="R64" i="3" a="1"/>
  <c r="R64" i="3"/>
  <c r="S64" i="3"/>
  <c r="N65" i="3"/>
  <c r="O65" i="3"/>
  <c r="P65" i="3"/>
  <c r="Q65" i="3"/>
  <c r="R65" i="3" a="1"/>
  <c r="R65" i="3" s="1"/>
  <c r="S65" i="3"/>
  <c r="N66" i="3"/>
  <c r="O66" i="3"/>
  <c r="P66" i="3"/>
  <c r="R66" i="3" s="1" a="1"/>
  <c r="R66" i="3" s="1"/>
  <c r="Q66" i="3"/>
  <c r="S66" i="3"/>
  <c r="N67" i="3"/>
  <c r="O67" i="3"/>
  <c r="P67" i="3"/>
  <c r="R67" i="3" s="1" a="1"/>
  <c r="R67" i="3" s="1"/>
  <c r="Q67" i="3"/>
  <c r="S67" i="3"/>
  <c r="N68" i="3"/>
  <c r="O68" i="3"/>
  <c r="P68" i="3"/>
  <c r="Q68" i="3"/>
  <c r="R68" i="3" a="1"/>
  <c r="R68" i="3" s="1"/>
  <c r="S68" i="3"/>
  <c r="N69" i="3"/>
  <c r="O69" i="3"/>
  <c r="P69" i="3"/>
  <c r="R69" i="3" s="1" a="1"/>
  <c r="R69" i="3" s="1"/>
  <c r="Q69" i="3"/>
  <c r="S69" i="3"/>
  <c r="N70" i="3"/>
  <c r="O70" i="3"/>
  <c r="P70" i="3"/>
  <c r="R70" i="3" s="1" a="1"/>
  <c r="R70" i="3" s="1"/>
  <c r="Q70" i="3"/>
  <c r="S70" i="3"/>
  <c r="N71" i="3"/>
  <c r="O71" i="3"/>
  <c r="P71" i="3"/>
  <c r="R71" i="3" s="1" a="1"/>
  <c r="R71" i="3" s="1"/>
  <c r="Q71" i="3"/>
  <c r="S71" i="3"/>
  <c r="N72" i="3"/>
  <c r="O72" i="3"/>
  <c r="P72" i="3"/>
  <c r="Q72" i="3"/>
  <c r="R72" i="3" a="1"/>
  <c r="R72" i="3"/>
  <c r="S72" i="3"/>
  <c r="N73" i="3"/>
  <c r="O73" i="3"/>
  <c r="P73" i="3"/>
  <c r="Q73" i="3"/>
  <c r="R73" i="3" a="1"/>
  <c r="R73" i="3" s="1"/>
  <c r="S73" i="3"/>
  <c r="N74" i="3"/>
  <c r="O74" i="3"/>
  <c r="P74" i="3"/>
  <c r="R74" i="3" s="1" a="1"/>
  <c r="R74" i="3" s="1"/>
  <c r="Q74" i="3"/>
  <c r="S74" i="3"/>
  <c r="N75" i="3"/>
  <c r="O75" i="3"/>
  <c r="P75" i="3"/>
  <c r="R75" i="3" s="1" a="1"/>
  <c r="R75" i="3" s="1"/>
  <c r="Q75" i="3"/>
  <c r="S75" i="3"/>
  <c r="N76" i="3"/>
  <c r="O76" i="3"/>
  <c r="P76" i="3"/>
  <c r="Q76" i="3"/>
  <c r="R76" i="3" a="1"/>
  <c r="R76" i="3" s="1"/>
  <c r="S76" i="3"/>
  <c r="N77" i="3"/>
  <c r="O77" i="3"/>
  <c r="P77" i="3"/>
  <c r="Q77" i="3"/>
  <c r="R77" i="3" a="1"/>
  <c r="R77" i="3" s="1"/>
  <c r="S77" i="3"/>
  <c r="N78" i="3"/>
  <c r="O78" i="3"/>
  <c r="P78" i="3"/>
  <c r="R78" i="3" s="1" a="1"/>
  <c r="R78" i="3" s="1"/>
  <c r="Q78" i="3"/>
  <c r="S78" i="3"/>
  <c r="N79" i="3"/>
  <c r="O79" i="3"/>
  <c r="P79" i="3"/>
  <c r="R79" i="3" s="1" a="1"/>
  <c r="R79" i="3" s="1"/>
  <c r="Q79" i="3"/>
  <c r="S79" i="3"/>
  <c r="N80" i="3"/>
  <c r="O80" i="3"/>
  <c r="P80" i="3"/>
  <c r="Q80" i="3"/>
  <c r="R80" i="3" a="1"/>
  <c r="R80" i="3"/>
  <c r="S80" i="3"/>
  <c r="N81" i="3"/>
  <c r="O81" i="3"/>
  <c r="P81" i="3"/>
  <c r="Q81" i="3"/>
  <c r="R81" i="3" a="1"/>
  <c r="R81" i="3" s="1"/>
  <c r="S81" i="3"/>
  <c r="N82" i="3"/>
  <c r="O82" i="3"/>
  <c r="P82" i="3"/>
  <c r="R82" i="3" s="1" a="1"/>
  <c r="R82" i="3" s="1"/>
  <c r="Q82" i="3"/>
  <c r="S82" i="3"/>
  <c r="N83" i="3"/>
  <c r="O83" i="3"/>
  <c r="P83" i="3"/>
  <c r="R83" i="3" s="1" a="1"/>
  <c r="R83" i="3" s="1"/>
  <c r="Q83" i="3"/>
  <c r="S83" i="3"/>
  <c r="N84" i="3"/>
  <c r="O84" i="3"/>
  <c r="P84" i="3"/>
  <c r="Q84" i="3"/>
  <c r="R84" i="3" a="1"/>
  <c r="R84" i="3"/>
  <c r="S84" i="3"/>
  <c r="N85" i="3"/>
  <c r="O85" i="3"/>
  <c r="P85" i="3"/>
  <c r="Q85" i="3"/>
  <c r="R85" i="3" a="1"/>
  <c r="R85" i="3" s="1"/>
  <c r="S85" i="3"/>
  <c r="N86" i="3"/>
  <c r="O86" i="3"/>
  <c r="P86" i="3"/>
  <c r="R86" i="3" s="1" a="1"/>
  <c r="R86" i="3" s="1"/>
  <c r="Q86" i="3"/>
  <c r="S86" i="3"/>
  <c r="N87" i="3"/>
  <c r="O87" i="3"/>
  <c r="P87" i="3"/>
  <c r="R87" i="3" s="1" a="1"/>
  <c r="R87" i="3" s="1"/>
  <c r="Q87" i="3"/>
  <c r="S87" i="3"/>
  <c r="N88" i="3"/>
  <c r="O88" i="3"/>
  <c r="P88" i="3"/>
  <c r="Q88" i="3"/>
  <c r="R88" i="3" a="1"/>
  <c r="R88" i="3"/>
  <c r="S88" i="3"/>
  <c r="N89" i="3"/>
  <c r="O89" i="3"/>
  <c r="P89" i="3"/>
  <c r="Q89" i="3"/>
  <c r="R89" i="3" a="1"/>
  <c r="R89" i="3" s="1"/>
  <c r="S89" i="3"/>
  <c r="N90" i="3"/>
  <c r="O90" i="3"/>
  <c r="P90" i="3"/>
  <c r="R90" i="3" s="1" a="1"/>
  <c r="R90" i="3" s="1"/>
  <c r="Q90" i="3"/>
  <c r="S90" i="3"/>
  <c r="N91" i="3"/>
  <c r="O91" i="3"/>
  <c r="P91" i="3"/>
  <c r="R91" i="3" s="1" a="1"/>
  <c r="R91" i="3" s="1"/>
  <c r="Q91" i="3"/>
  <c r="S91" i="3"/>
  <c r="N92" i="3"/>
  <c r="O92" i="3"/>
  <c r="P92" i="3"/>
  <c r="Q92" i="3"/>
  <c r="R92" i="3" a="1"/>
  <c r="R92" i="3"/>
  <c r="S92" i="3"/>
  <c r="N93" i="3"/>
  <c r="O93" i="3"/>
  <c r="P93" i="3"/>
  <c r="Q93" i="3"/>
  <c r="R93" i="3" a="1"/>
  <c r="R93" i="3" s="1"/>
  <c r="S93" i="3"/>
  <c r="N94" i="3"/>
  <c r="O94" i="3"/>
  <c r="P94" i="3"/>
  <c r="R94" i="3" s="1" a="1"/>
  <c r="R94" i="3" s="1"/>
  <c r="Q94" i="3"/>
  <c r="S94" i="3"/>
  <c r="N95" i="3"/>
  <c r="O95" i="3"/>
  <c r="P95" i="3"/>
  <c r="R95" i="3" s="1" a="1"/>
  <c r="R95" i="3" s="1"/>
  <c r="Q95" i="3"/>
  <c r="S95" i="3"/>
  <c r="N96" i="3"/>
  <c r="O96" i="3"/>
  <c r="P96" i="3"/>
  <c r="Q96" i="3"/>
  <c r="R96" i="3" a="1"/>
  <c r="R96" i="3"/>
  <c r="S96" i="3"/>
  <c r="N97" i="3"/>
  <c r="O97" i="3"/>
  <c r="P97" i="3"/>
  <c r="Q97" i="3"/>
  <c r="R97" i="3" a="1"/>
  <c r="R97" i="3" s="1"/>
  <c r="S97" i="3"/>
  <c r="N98" i="3"/>
  <c r="O98" i="3"/>
  <c r="P98" i="3"/>
  <c r="R98" i="3" s="1" a="1"/>
  <c r="R98" i="3" s="1"/>
  <c r="Q98" i="3"/>
  <c r="S98" i="3"/>
  <c r="N99" i="3"/>
  <c r="O99" i="3"/>
  <c r="P99" i="3"/>
  <c r="R99" i="3" s="1" a="1"/>
  <c r="R99" i="3" s="1"/>
  <c r="Q99" i="3"/>
  <c r="S99" i="3"/>
  <c r="N100" i="3"/>
  <c r="O100" i="3"/>
  <c r="P100" i="3"/>
  <c r="Q100" i="3"/>
  <c r="R100" i="3" a="1"/>
  <c r="R100" i="3"/>
  <c r="S100" i="3"/>
  <c r="N101" i="3"/>
  <c r="O101" i="3"/>
  <c r="P101" i="3"/>
  <c r="Q101" i="3"/>
  <c r="R101" i="3" a="1"/>
  <c r="R101" i="3" s="1"/>
  <c r="S101" i="3"/>
  <c r="F5" i="13"/>
  <c r="E6" i="10"/>
  <c r="E7" i="10"/>
  <c r="E8" i="10"/>
  <c r="E9" i="10"/>
  <c r="E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<sst xmlns="http://schemas.openxmlformats.org/spreadsheetml/2006/main" count="1598" uniqueCount="361">
  <si>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</si>
  <si>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</si>
  <si>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</si>
  <si>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</si>
  <si>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</si>
  <si>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</si>
  <si>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</si>
  <si>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</si>
  <si>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</si>
  <si>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</si>
  <si>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</si>
  <si>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</si>
  <si>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</si>
  <si>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</si>
  <si>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</si>
  <si>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</si>
  <si>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</si>
  <si>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</si>
  <si>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</si>
  <si>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</si>
  <si>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</si>
  <si>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</si>
  <si>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</si>
  <si>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</si>
  <si>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</si>
  <si>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</si>
  <si>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</si>
  <si>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</si>
  <si>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</si>
  <si>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</si>
  <si>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</si>
  <si>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</si>
  <si>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</si>
  <si>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</si>
  <si>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</si>
  <si>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</si>
  <si>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</si>
  <si>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</si>
  <si>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</si>
  <si>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</si>
  <si>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</si>
  <si>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</si>
  <si>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</si>
  <si>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</si>
  <si>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</si>
  <si>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</si>
  <si>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</si>
  <si>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</si>
  <si>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</si>
  <si>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</si>
  <si>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</si>
  <si>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</si>
  <si>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</si>
  <si>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</si>
  <si>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</si>
  <si>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</si>
  <si>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</si>
  <si>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</si>
  <si>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</si>
  <si>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</si>
  <si>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</si>
  <si>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</si>
  <si>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</si>
  <si>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</si>
  <si>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</si>
  <si>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</si>
  <si>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</si>
  <si>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</si>
  <si>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</si>
  <si>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</si>
  <si>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</si>
  <si>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</si>
  <si>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</si>
  <si>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</si>
  <si>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</si>
  <si>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</si>
  <si>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</si>
  <si>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</si>
  <si>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</si>
  <si>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</si>
  <si>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</si>
  <si>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</si>
  <si>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</si>
  <si>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</si>
  <si>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</si>
  <si>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</si>
  <si>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</si>
  <si>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</si>
  <si>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</si>
  <si>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</si>
  <si>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</si>
  <si>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</si>
  <si>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</si>
  <si>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</si>
  <si>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</si>
  <si>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</si>
  <si>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</si>
  <si>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</si>
  <si>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</si>
  <si>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</si>
  <si>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</si>
  <si>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</si>
  <si>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</si>
  <si>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</si>
  <si>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</si>
  <si>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</si>
  <si>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</si>
  <si>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</si>
  <si>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</si>
  <si>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</si>
  <si>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</si>
  <si>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</si>
  <si>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</si>
  <si>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</si>
  <si>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</si>
  <si>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</si>
  <si>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</si>
  <si>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</si>
  <si>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</si>
  <si>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</si>
  <si>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</si>
  <si>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</si>
  <si>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</si>
  <si>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</si>
  <si>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</si>
  <si>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</si>
  <si>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</si>
  <si>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</si>
  <si>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</si>
  <si>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</si>
  <si>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</si>
  <si>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</si>
  <si>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</si>
  <si>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</si>
  <si>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</si>
  <si>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</si>
  <si>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</si>
  <si>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</si>
  <si>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</si>
  <si>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</si>
  <si>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</si>
  <si>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</si>
  <si>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</si>
  <si>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</si>
  <si>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</si>
  <si>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</si>
  <si>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</si>
  <si>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</si>
  <si>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</si>
  <si>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</si>
  <si>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</si>
  <si>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</si>
  <si>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</si>
  <si>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</si>
  <si>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</si>
  <si>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</si>
  <si>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</si>
  <si>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</si>
  <si>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</si>
  <si>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</si>
  <si>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</si>
  <si>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</si>
  <si>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</si>
  <si>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</si>
  <si>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</si>
  <si>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</si>
  <si>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</si>
  <si>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</si>
  <si>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</si>
  <si>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</si>
  <si>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</si>
  <si>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</si>
  <si>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</si>
  <si>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</si>
  <si>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</si>
  <si>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</si>
  <si>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</si>
  <si>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</si>
  <si>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</si>
  <si>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</si>
  <si>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</si>
  <si>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</si>
  <si>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</si>
  <si>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</si>
  <si>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</si>
  <si>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</si>
  <si>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</si>
  <si>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</si>
  <si>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</si>
  <si>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</si>
  <si>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</si>
  <si>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</si>
  <si>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</si>
  <si>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</si>
  <si>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</si>
  <si>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</si>
  <si>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</si>
  <si>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</si>
  <si>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</si>
  <si>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</si>
  <si>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</si>
  <si>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</si>
  <si>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</si>
  <si>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</si>
  <si>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</si>
  <si>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</si>
  <si>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</si>
  <si>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</si>
  <si>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</si>
  <si>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</si>
  <si>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</si>
  <si>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</si>
  <si>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</si>
  <si>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</si>
  <si>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</si>
  <si>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</si>
  <si>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</si>
  <si>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</si>
  <si>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</si>
  <si>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</si>
  <si>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</si>
  <si>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</si>
  <si>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</si>
  <si>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</si>
  <si>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</si>
  <si>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</si>
  <si>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</si>
  <si>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</si>
  <si>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</si>
  <si>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</si>
  <si>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</si>
  <si>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</si>
  <si>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</si>
  <si>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</si>
  <si>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</si>
  <si>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</si>
  <si>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</si>
  <si>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</si>
  <si>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</si>
  <si>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</si>
  <si>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</si>
  <si>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</si>
  <si>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</si>
  <si>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</si>
  <si>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</si>
  <si>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</si>
  <si>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</si>
  <si>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</si>
  <si>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</si>
  <si>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</si>
  <si>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</si>
  <si>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</si>
  <si>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</si>
  <si>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</si>
  <si>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</si>
  <si>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</si>
  <si>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</si>
  <si>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</si>
  <si>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</si>
  <si>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</si>
  <si>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</si>
  <si>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</si>
  <si>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</si>
  <si>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</si>
  <si>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</si>
  <si>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</si>
  <si>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</si>
  <si>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</si>
  <si>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</si>
  <si>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</si>
  <si>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</si>
  <si>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</si>
  <si>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</si>
  <si>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</si>
  <si>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</si>
  <si>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</si>
  <si>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</si>
  <si>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</si>
  <si>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</si>
  <si>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</si>
  <si>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</si>
  <si>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</si>
  <si>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</si>
  <si>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</si>
  <si>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</si>
  <si>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</si>
  <si>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</si>
  <si>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</si>
  <si>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</si>
  <si>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</si>
  <si>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</si>
  <si>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</si>
  <si>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</si>
  <si>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</si>
  <si>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</si>
  <si>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</si>
  <si>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</si>
  <si>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</si>
  <si>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</si>
  <si>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</si>
  <si>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</si>
  <si>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</si>
  <si>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</si>
  <si>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</si>
  <si>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</si>
  <si>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</si>
  <si>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</si>
  <si>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</si>
  <si>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</si>
  <si>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</si>
  <si>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</si>
  <si>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Is cancelled</t>
  </si>
  <si>
    <t>Product category</t>
  </si>
  <si>
    <t>Average delivery time</t>
  </si>
  <si>
    <t>Row Labels</t>
  </si>
  <si>
    <t>Grand Total</t>
  </si>
  <si>
    <t>Sum of Total Amount</t>
  </si>
  <si>
    <t>Column Labels</t>
  </si>
  <si>
    <t>Average of Average delivery time</t>
  </si>
  <si>
    <t>Count of Order ID</t>
  </si>
  <si>
    <t>(All)</t>
  </si>
  <si>
    <t>Delivery performance</t>
  </si>
  <si>
    <t>no</t>
  </si>
  <si>
    <t>yes</t>
  </si>
  <si>
    <t>fast</t>
  </si>
  <si>
    <t>na</t>
  </si>
  <si>
    <t>slow</t>
  </si>
  <si>
    <t>% fast delivery</t>
  </si>
  <si>
    <t>Product name</t>
  </si>
  <si>
    <t>Count of Total Amount</t>
  </si>
  <si>
    <t>WORK AND SALES INTELLIGENCE DASHBOARD</t>
  </si>
  <si>
    <t>Jan</t>
  </si>
  <si>
    <t>Feb</t>
  </si>
  <si>
    <t>Mar</t>
  </si>
  <si>
    <t>Apr</t>
  </si>
  <si>
    <t>May</t>
  </si>
  <si>
    <t>Jun</t>
  </si>
  <si>
    <t>Jul</t>
  </si>
  <si>
    <t>Aug</t>
  </si>
  <si>
    <t>Sep</t>
  </si>
  <si>
    <t>Oct</t>
  </si>
  <si>
    <t>Nov</t>
  </si>
  <si>
    <t>Dec</t>
  </si>
  <si>
    <t>HIGH</t>
  </si>
  <si>
    <t>LOW</t>
  </si>
  <si>
    <t>SALE</t>
  </si>
  <si>
    <t>.</t>
  </si>
  <si>
    <t>not found</t>
  </si>
  <si>
    <t>TOP 3 PERFORMING REGION</t>
  </si>
  <si>
    <t>BRAINSTORMING REFLECTION</t>
  </si>
  <si>
    <t>WHAT IS THE MOST SUCCESSFUL PRODUCT CATEGORY IN TERMS OF REVENUE</t>
  </si>
  <si>
    <t>ELECTRONICS</t>
  </si>
  <si>
    <t>WHICH REGION HAS THE HIGHEST ORDER CANCELLATION RATE</t>
  </si>
  <si>
    <t>NORTH</t>
  </si>
  <si>
    <t>HOW MANY ORDERS DELIVERED IN TWO DAYS</t>
  </si>
  <si>
    <t>HOW HAS THE X-LOOKUP SIMPLIFIED CROSS -SHEET ANALYSIS</t>
  </si>
  <si>
    <t>X -LOOKUP CAN MATCH THE EXACT DATA FROM ANOTHER SHEET WHERE DATA STORED</t>
  </si>
  <si>
    <t>WHAT RECOMMENDATIONS WOULD YOU GIVE TO IMPROVE DELIVERY PERFORMANCE</t>
  </si>
  <si>
    <t>INSTEAD OF 2 DAYS WE HAVE TO DELIVER IT IN 1 DAY WITH SAFE DELIVERY</t>
  </si>
  <si>
    <t>fggggf</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</si>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</sst>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Rockwell"/>
      <family val="2"/>
      <scheme val="minor"/>
    </font>
    <font>
      <b/>
      <sz val="11"/>
      <color theme="1"/>
      <name val="Calibri"/>
      <family val="2"/>
    </font>
    <font>
      <sz val="11"/>
      <color theme="1"/>
      <name val="Calibri"/>
      <family val="2"/>
    </font>
    <font>
      <sz val="20"/>
      <color theme="1"/>
      <name val="Rockwell"/>
      <family val="2"/>
      <scheme val="minor"/>
    </font>
    <font>
      <sz val="22"/>
      <color theme="1"/>
      <name val="Rockwell"/>
      <family val="2"/>
      <scheme val="minor"/>
    </font>
    <font>
      <sz val="11"/>
      <color rgb="FFFF0000"/>
      <name val="Rockwell"/>
      <family val="2"/>
      <scheme val="minor"/>
    </font>
    <font>
      <sz val="28"/>
      <color rgb="FF7030A0"/>
      <name val="Rockwell"/>
      <family val="2"/>
      <scheme val="minor"/>
    </font>
    <font>
      <sz val="36"/>
      <color rgb="FFFF0000"/>
      <name val="Rockwell"/>
      <family val="1"/>
      <scheme val="minor"/>
    </font>
    <font>
      <sz val="36"/>
      <color theme="1"/>
      <name val="Rockwell"/>
      <family val="2"/>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4" fontId="0" fillId="0" borderId="0" xfId="0" applyNumberFormat="1"/>
    <xf numFmtId="0" fontId="0" fillId="4" borderId="0" xfId="0" applyFill="1"/>
    <xf numFmtId="0" fontId="5" fillId="4" borderId="0" xfId="0" applyFont="1" applyFill="1"/>
    <xf numFmtId="0" fontId="0" fillId="4" borderId="0" xfId="0" applyFill="1" applyAlignment="1">
      <alignment horizontal="left"/>
    </xf>
    <xf numFmtId="0" fontId="3" fillId="4" borderId="0" xfId="0" applyFont="1" applyFill="1"/>
    <xf numFmtId="0" fontId="4" fillId="4" borderId="0" xfId="0" applyFont="1" applyFill="1"/>
    <xf numFmtId="10" fontId="0" fillId="4" borderId="0" xfId="0" applyNumberFormat="1" applyFill="1"/>
    <xf numFmtId="0" fontId="7" fillId="2" borderId="0" xfId="0" applyFont="1" applyFill="1" applyAlignment="1">
      <alignment horizontal="center" vertical="center"/>
    </xf>
    <xf numFmtId="0" fontId="0" fillId="2" borderId="0" xfId="0" applyFill="1" applyAlignment="1">
      <alignment horizontal="center" vertical="center"/>
    </xf>
    <xf numFmtId="0" fontId="6" fillId="3" borderId="0" xfId="0" applyFont="1" applyFill="1" applyAlignment="1">
      <alignment horizontal="center"/>
    </xf>
    <xf numFmtId="0" fontId="0" fillId="3" borderId="0" xfId="0" applyFill="1" applyAlignment="1">
      <alignment horizontal="center"/>
    </xf>
    <xf numFmtId="0" fontId="8" fillId="0" borderId="0" xfId="0" applyFont="1" applyAlignment="1">
      <alignment horizontal="center"/>
    </xf>
    <xf numFmtId="0" fontId="0" fillId="0" borderId="0" xfId="0" applyNumberFormat="1"/>
    <xf numFmtId="0" fontId="0" fillId="4" borderId="0" xfId="0" applyNumberFormat="1" applyFill="1"/>
  </cellXfs>
  <cellStyles count="1">
    <cellStyle name="Normal" xfId="0" builtinId="0"/>
  </cellStyles>
  <dxfs count="323">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color rgb="FF9C0006"/>
      </font>
      <fill>
        <patternFill>
          <bgColor rgb="FFFFC7CE"/>
        </patternFill>
      </fill>
    </dxf>
    <dxf>
      <font>
        <color rgb="FF9C0006"/>
      </font>
      <fill>
        <patternFill>
          <bgColor rgb="FFFFC7CE"/>
        </patternFill>
      </fill>
    </dxf>
    <dxf>
      <numFmt numFmtId="19" formatCode="dd/mm/yyyy"/>
    </dxf>
    <dxf>
      <numFmt numFmtId="1" formatCode="0"/>
    </dxf>
    <dxf>
      <numFmt numFmtId="1" formatCode="0"/>
    </dxf>
    <dxf>
      <numFmt numFmtId="1" formatCode="0"/>
    </dxf>
    <dxf>
      <numFmt numFmtId="1" formatCode="0"/>
    </dxf>
    <dxf>
      <numFmt numFmtId="1" formatCode="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s>
  <tableStyles count="0" defaultTableStyle="TableStyleMedium2" defaultPivotStyle="PivotStyleLight16"/>
  <colors>
    <mruColors>
      <color rgb="FFFF66FF"/>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856481481481484"/>
          <c:w val="0.74845603674540684"/>
          <c:h val="0.65246391076115473"/>
        </c:manualLayout>
      </c:layout>
      <c:barChart>
        <c:barDir val="col"/>
        <c:grouping val="clustered"/>
        <c:varyColors val="0"/>
        <c:ser>
          <c:idx val="0"/>
          <c:order val="0"/>
          <c:tx>
            <c:strRef>
              <c:f>Sheet1!$B$3</c:f>
              <c:strCache>
                <c:ptCount val="1"/>
                <c:pt idx="0">
                  <c:v>Total</c:v>
                </c:pt>
              </c:strCache>
            </c:strRef>
          </c:tx>
          <c:spPr>
            <a:solidFill>
              <a:schemeClr val="accent1"/>
            </a:solidFill>
            <a:ln>
              <a:solidFill>
                <a:schemeClr val="accent4"/>
              </a:solidFill>
            </a:ln>
            <a:effectLst/>
          </c:spPr>
          <c:invertIfNegative val="0"/>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8D9A-48FB-89ED-D477C34C4A5B}"/>
            </c:ext>
          </c:extLst>
        </c:ser>
        <c:dLbls>
          <c:showLegendKey val="0"/>
          <c:showVal val="0"/>
          <c:showCatName val="0"/>
          <c:showSerName val="0"/>
          <c:showPercent val="0"/>
          <c:showBubbleSize val="0"/>
        </c:dLbls>
        <c:gapWidth val="219"/>
        <c:overlap val="-27"/>
        <c:axId val="1348493775"/>
        <c:axId val="1348494255"/>
      </c:barChart>
      <c:catAx>
        <c:axId val="134849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4255"/>
        <c:crosses val="autoZero"/>
        <c:auto val="1"/>
        <c:lblAlgn val="ctr"/>
        <c:lblOffset val="100"/>
        <c:noMultiLvlLbl val="0"/>
      </c:catAx>
      <c:valAx>
        <c:axId val="134849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377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6600CC"/>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v>high</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val>
            <c:numRef>
              <c:f>Sheet8!$C$2:$C$6</c:f>
              <c:numCache>
                <c:formatCode>General</c:formatCode>
                <c:ptCount val="5"/>
                <c:pt idx="0">
                  <c:v>5456</c:v>
                </c:pt>
                <c:pt idx="1">
                  <c:v>#N/A</c:v>
                </c:pt>
                <c:pt idx="2">
                  <c:v>10491</c:v>
                </c:pt>
                <c:pt idx="3">
                  <c:v>6931</c:v>
                </c:pt>
                <c:pt idx="4">
                  <c:v>8359</c:v>
                </c:pt>
              </c:numCache>
            </c:numRef>
          </c:val>
          <c:extLst>
            <c:ext xmlns:c16="http://schemas.microsoft.com/office/drawing/2014/chart" uri="{C3380CC4-5D6E-409C-BE32-E72D297353CC}">
              <c16:uniqueId val="{00000001-2278-4222-8E84-FCC0B3B47FCA}"/>
            </c:ext>
          </c:extLst>
        </c:ser>
        <c:ser>
          <c:idx val="0"/>
          <c:order val="1"/>
          <c:tx>
            <c:v>low</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Sheet8!$D$2:$D$6</c:f>
              <c:numCache>
                <c:formatCode>General</c:formatCode>
                <c:ptCount val="5"/>
                <c:pt idx="0">
                  <c:v>#N/A</c:v>
                </c:pt>
                <c:pt idx="1">
                  <c:v>3503</c:v>
                </c:pt>
                <c:pt idx="2">
                  <c:v>#N/A</c:v>
                </c:pt>
                <c:pt idx="3">
                  <c:v>#N/A</c:v>
                </c:pt>
                <c:pt idx="4">
                  <c:v>#N/A</c:v>
                </c:pt>
              </c:numCache>
            </c:numRef>
          </c:val>
          <c:extLst>
            <c:ext xmlns:c16="http://schemas.microsoft.com/office/drawing/2014/chart" uri="{C3380CC4-5D6E-409C-BE32-E72D297353CC}">
              <c16:uniqueId val="{00000002-2278-4222-8E84-FCC0B3B47FCA}"/>
            </c:ext>
          </c:extLst>
        </c:ser>
        <c:dLbls>
          <c:showLegendKey val="0"/>
          <c:showVal val="0"/>
          <c:showCatName val="0"/>
          <c:showSerName val="0"/>
          <c:showPercent val="0"/>
          <c:showBubbleSize val="0"/>
        </c:dLbls>
        <c:gapWidth val="65"/>
        <c:shape val="box"/>
        <c:axId val="1397885183"/>
        <c:axId val="1397885663"/>
        <c:axId val="0"/>
      </c:bar3DChart>
      <c:catAx>
        <c:axId val="1397885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7885663"/>
        <c:crosses val="autoZero"/>
        <c:auto val="1"/>
        <c:lblAlgn val="ctr"/>
        <c:lblOffset val="100"/>
        <c:noMultiLvlLbl val="0"/>
      </c:catAx>
      <c:valAx>
        <c:axId val="139788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78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 2!PivotTable2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 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49-4019-83E3-6F2AE1AABA3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49-4019-83E3-6F2AE1AABA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49-4019-83E3-6F2AE1AABA3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49-4019-83E3-6F2AE1AABA3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F49-4019-83E3-6F2AE1AABA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2'!$A$4:$A$9</c:f>
              <c:strCache>
                <c:ptCount val="5"/>
                <c:pt idx="0">
                  <c:v>Amazon Pay</c:v>
                </c:pt>
                <c:pt idx="1">
                  <c:v>Apple Pay</c:v>
                </c:pt>
                <c:pt idx="2">
                  <c:v>Credit Card</c:v>
                </c:pt>
                <c:pt idx="3">
                  <c:v>Debit Card</c:v>
                </c:pt>
                <c:pt idx="4">
                  <c:v>PayPal</c:v>
                </c:pt>
              </c:strCache>
            </c:strRef>
          </c:cat>
          <c:val>
            <c:numRef>
              <c:f>'SHEET 2'!$B$4:$B$9</c:f>
              <c:numCache>
                <c:formatCode>General</c:formatCode>
                <c:ptCount val="5"/>
                <c:pt idx="0">
                  <c:v>4374</c:v>
                </c:pt>
                <c:pt idx="1">
                  <c:v>5452</c:v>
                </c:pt>
                <c:pt idx="2">
                  <c:v>9398</c:v>
                </c:pt>
                <c:pt idx="3">
                  <c:v>8326</c:v>
                </c:pt>
                <c:pt idx="4">
                  <c:v>5521</c:v>
                </c:pt>
              </c:numCache>
            </c:numRef>
          </c:val>
          <c:extLst>
            <c:ext xmlns:c16="http://schemas.microsoft.com/office/drawing/2014/chart" uri="{C3380CC4-5D6E-409C-BE32-E72D297353CC}">
              <c16:uniqueId val="{00000000-B2D6-4344-8487-DE7132F9744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project.xlsx]Sheet4!PivotTable3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DELIVERY STATUS</a:t>
            </a:r>
          </a:p>
          <a:p>
            <a:pPr>
              <a:defRPr/>
            </a:pPr>
            <a:endParaRPr lang="en-IN"/>
          </a:p>
          <a:p>
            <a:pPr>
              <a:defRPr/>
            </a:pPr>
            <a:endParaRPr lang="en-IN"/>
          </a:p>
        </c:rich>
      </c:tx>
      <c:layout>
        <c:manualLayout>
          <c:xMode val="edge"/>
          <c:yMode val="edge"/>
          <c:x val="0.3551041119860017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666601049868769"/>
          <c:y val="0.29189596092155146"/>
          <c:w val="0.31652909011373576"/>
          <c:h val="0.52754848352289296"/>
        </c:manualLayout>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A9-43C1-A078-63707647441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A9-43C1-A078-63707647441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7A9-43C1-A078-63707647441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Cancelled</c:v>
                </c:pt>
                <c:pt idx="1">
                  <c:v>Delivered</c:v>
                </c:pt>
                <c:pt idx="2">
                  <c:v>In Transit</c:v>
                </c:pt>
              </c:strCache>
            </c:strRef>
          </c:cat>
          <c:val>
            <c:numRef>
              <c:f>Sheet4!$B$4:$B$7</c:f>
              <c:numCache>
                <c:formatCode>General</c:formatCode>
                <c:ptCount val="3"/>
                <c:pt idx="0">
                  <c:v>6181</c:v>
                </c:pt>
                <c:pt idx="1">
                  <c:v>12942</c:v>
                </c:pt>
                <c:pt idx="2">
                  <c:v>13948</c:v>
                </c:pt>
              </c:numCache>
            </c:numRef>
          </c:val>
          <c:extLst>
            <c:ext xmlns:c16="http://schemas.microsoft.com/office/drawing/2014/chart" uri="{C3380CC4-5D6E-409C-BE32-E72D297353CC}">
              <c16:uniqueId val="{00000000-A943-46D7-882A-447E99AD54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project.xlsx]Sheet6!PivotTable4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08180227471566"/>
          <c:y val="0.16664953339165939"/>
          <c:w val="0.62784405074365701"/>
          <c:h val="0.72595107903178768"/>
        </c:manualLayout>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Sheet6!$A$4:$A$26</c:f>
              <c:strCache>
                <c:ptCount val="22"/>
                <c:pt idx="0">
                  <c:v>Action Figure</c:v>
                </c:pt>
                <c:pt idx="1">
                  <c:v>Backpack</c:v>
                </c:pt>
                <c:pt idx="2">
                  <c:v>Bluetooth Speaker</c:v>
                </c:pt>
                <c:pt idx="3">
                  <c:v>Cookware Set</c:v>
                </c:pt>
                <c:pt idx="4">
                  <c:v>Cookware Set Pro</c:v>
                </c:pt>
                <c:pt idx="5">
                  <c:v>Doll House</c:v>
                </c:pt>
                <c:pt idx="6">
                  <c:v>Formal Shirt</c:v>
                </c:pt>
                <c:pt idx="7">
                  <c:v>Gaming Mouse</c:v>
                </c:pt>
                <c:pt idx="8">
                  <c:v>Headphones</c:v>
                </c:pt>
                <c:pt idx="9">
                  <c:v>Jeans</c:v>
                </c:pt>
                <c:pt idx="10">
                  <c:v>Lamp</c:v>
                </c:pt>
                <c:pt idx="11">
                  <c:v>Leg Set</c:v>
                </c:pt>
                <c:pt idx="12">
                  <c:v>Magazine</c:v>
                </c:pt>
                <c:pt idx="13">
                  <c:v>Novel</c:v>
                </c:pt>
                <c:pt idx="14">
                  <c:v>Puzzle</c:v>
                </c:pt>
                <c:pt idx="15">
                  <c:v>Shoes</c:v>
                </c:pt>
                <c:pt idx="16">
                  <c:v>Smartphone</c:v>
                </c:pt>
                <c:pt idx="17">
                  <c:v>Smartwatch</c:v>
                </c:pt>
                <c:pt idx="18">
                  <c:v>Textbook</c:v>
                </c:pt>
                <c:pt idx="19">
                  <c:v>T-Shirt</c:v>
                </c:pt>
                <c:pt idx="20">
                  <c:v>Vacuum Cleaner</c:v>
                </c:pt>
                <c:pt idx="21">
                  <c:v>Wall Clock</c:v>
                </c:pt>
              </c:strCache>
            </c:strRef>
          </c:cat>
          <c:val>
            <c:numRef>
              <c:f>Sheet6!$B$4:$B$26</c:f>
              <c:numCache>
                <c:formatCode>General</c:formatCode>
                <c:ptCount val="22"/>
                <c:pt idx="0">
                  <c:v>669</c:v>
                </c:pt>
                <c:pt idx="1">
                  <c:v>518</c:v>
                </c:pt>
                <c:pt idx="2">
                  <c:v>731</c:v>
                </c:pt>
                <c:pt idx="3">
                  <c:v>2496</c:v>
                </c:pt>
                <c:pt idx="4">
                  <c:v>5151</c:v>
                </c:pt>
                <c:pt idx="5">
                  <c:v>1530</c:v>
                </c:pt>
                <c:pt idx="6">
                  <c:v>995</c:v>
                </c:pt>
                <c:pt idx="7">
                  <c:v>1392</c:v>
                </c:pt>
                <c:pt idx="8">
                  <c:v>172</c:v>
                </c:pt>
                <c:pt idx="9">
                  <c:v>581</c:v>
                </c:pt>
                <c:pt idx="10">
                  <c:v>320</c:v>
                </c:pt>
                <c:pt idx="11">
                  <c:v>1124</c:v>
                </c:pt>
                <c:pt idx="12">
                  <c:v>165</c:v>
                </c:pt>
                <c:pt idx="13">
                  <c:v>210</c:v>
                </c:pt>
                <c:pt idx="14">
                  <c:v>188</c:v>
                </c:pt>
                <c:pt idx="15">
                  <c:v>1239</c:v>
                </c:pt>
                <c:pt idx="16">
                  <c:v>9644</c:v>
                </c:pt>
                <c:pt idx="17">
                  <c:v>2230</c:v>
                </c:pt>
                <c:pt idx="18">
                  <c:v>973</c:v>
                </c:pt>
                <c:pt idx="19">
                  <c:v>539</c:v>
                </c:pt>
                <c:pt idx="20">
                  <c:v>1364</c:v>
                </c:pt>
                <c:pt idx="21">
                  <c:v>840</c:v>
                </c:pt>
              </c:numCache>
            </c:numRef>
          </c:val>
          <c:extLst>
            <c:ext xmlns:c16="http://schemas.microsoft.com/office/drawing/2014/chart" uri="{C3380CC4-5D6E-409C-BE32-E72D297353CC}">
              <c16:uniqueId val="{00000000-6F11-4A45-824A-8E9B590A0C5E}"/>
            </c:ext>
          </c:extLst>
        </c:ser>
        <c:dLbls>
          <c:showLegendKey val="0"/>
          <c:showVal val="0"/>
          <c:showCatName val="0"/>
          <c:showSerName val="0"/>
          <c:showPercent val="0"/>
          <c:showBubbleSize val="0"/>
        </c:dLbls>
        <c:gapWidth val="182"/>
        <c:axId val="1361434127"/>
        <c:axId val="1351535871"/>
      </c:barChart>
      <c:catAx>
        <c:axId val="136143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35871"/>
        <c:crosses val="autoZero"/>
        <c:auto val="1"/>
        <c:lblAlgn val="ctr"/>
        <c:lblOffset val="100"/>
        <c:noMultiLvlLbl val="0"/>
      </c:catAx>
      <c:valAx>
        <c:axId val="1351535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34127"/>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project.xlsx]5.3!PivotTable3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a:sp3d/>
      </c:spPr>
    </c:backWall>
    <c:plotArea>
      <c:layout>
        <c:manualLayout>
          <c:layoutTarget val="inner"/>
          <c:xMode val="edge"/>
          <c:yMode val="edge"/>
          <c:x val="0.17402537182852143"/>
          <c:y val="0.24939596092155147"/>
          <c:w val="0.69425415573053373"/>
          <c:h val="0.53774387576552929"/>
        </c:manualLayout>
      </c:layout>
      <c:line3DChart>
        <c:grouping val="standard"/>
        <c:varyColors val="0"/>
        <c:ser>
          <c:idx val="0"/>
          <c:order val="0"/>
          <c:tx>
            <c:strRef>
              <c:f>'5.3'!$B$3</c:f>
              <c:strCache>
                <c:ptCount val="1"/>
                <c:pt idx="0">
                  <c:v>Total</c:v>
                </c:pt>
              </c:strCache>
            </c:strRef>
          </c:tx>
          <c:spPr>
            <a:solidFill>
              <a:schemeClr val="accent1"/>
            </a:solidFill>
            <a:ln>
              <a:noFill/>
            </a:ln>
            <a:effectLst/>
            <a:sp3d/>
          </c:spPr>
          <c:cat>
            <c:strRef>
              <c:f>'5.3'!$A$4:$A$16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'5.3'!$B$4:$B$16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DD1D-4383-AA55-6839EA66CCD3}"/>
            </c:ext>
          </c:extLst>
        </c:ser>
        <c:dLbls>
          <c:showLegendKey val="0"/>
          <c:showVal val="0"/>
          <c:showCatName val="0"/>
          <c:showSerName val="0"/>
          <c:showPercent val="0"/>
          <c:showBubbleSize val="0"/>
        </c:dLbls>
        <c:axId val="1384167647"/>
        <c:axId val="1384168607"/>
        <c:axId val="1403989039"/>
      </c:line3DChart>
      <c:catAx>
        <c:axId val="138416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68607"/>
        <c:crosses val="autoZero"/>
        <c:auto val="1"/>
        <c:lblAlgn val="ctr"/>
        <c:lblOffset val="100"/>
        <c:noMultiLvlLbl val="0"/>
      </c:catAx>
      <c:valAx>
        <c:axId val="138416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67647"/>
        <c:crosses val="autoZero"/>
        <c:crossBetween val="between"/>
      </c:valAx>
      <c:serAx>
        <c:axId val="14039890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686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project.xlsx]Sheet9!PivotTable1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Sheet9!$A$4:$A$43</c:f>
              <c:strCache>
                <c:ptCount val="39"/>
                <c:pt idx="0">
                  <c:v>CUST004</c:v>
                </c:pt>
                <c:pt idx="1">
                  <c:v>CUST006</c:v>
                </c:pt>
                <c:pt idx="2">
                  <c:v>CUST007</c:v>
                </c:pt>
                <c:pt idx="3">
                  <c:v>CUST009</c:v>
                </c:pt>
                <c:pt idx="4">
                  <c:v>CUST011</c:v>
                </c:pt>
                <c:pt idx="5">
                  <c:v>CUST013</c:v>
                </c:pt>
                <c:pt idx="6">
                  <c:v>CUST014</c:v>
                </c:pt>
                <c:pt idx="7">
                  <c:v>CUST015</c:v>
                </c:pt>
                <c:pt idx="8">
                  <c:v>CUST016</c:v>
                </c:pt>
                <c:pt idx="9">
                  <c:v>CUST017</c:v>
                </c:pt>
                <c:pt idx="10">
                  <c:v>CUST018</c:v>
                </c:pt>
                <c:pt idx="11">
                  <c:v>CUST019</c:v>
                </c:pt>
                <c:pt idx="12">
                  <c:v>CUST021</c:v>
                </c:pt>
                <c:pt idx="13">
                  <c:v>CUST022</c:v>
                </c:pt>
                <c:pt idx="14">
                  <c:v>CUST023</c:v>
                </c:pt>
                <c:pt idx="15">
                  <c:v>CUST024</c:v>
                </c:pt>
                <c:pt idx="16">
                  <c:v>CUST025</c:v>
                </c:pt>
                <c:pt idx="17">
                  <c:v>CUST026</c:v>
                </c:pt>
                <c:pt idx="18">
                  <c:v>CUST027</c:v>
                </c:pt>
                <c:pt idx="19">
                  <c:v>CUST028</c:v>
                </c:pt>
                <c:pt idx="20">
                  <c:v>CUST029</c:v>
                </c:pt>
                <c:pt idx="21">
                  <c:v>CUST031</c:v>
                </c:pt>
                <c:pt idx="22">
                  <c:v>CUST032</c:v>
                </c:pt>
                <c:pt idx="23">
                  <c:v>CUST033</c:v>
                </c:pt>
                <c:pt idx="24">
                  <c:v>CUST034</c:v>
                </c:pt>
                <c:pt idx="25">
                  <c:v>CUST035</c:v>
                </c:pt>
                <c:pt idx="26">
                  <c:v>CUST036</c:v>
                </c:pt>
                <c:pt idx="27">
                  <c:v>CUST037</c:v>
                </c:pt>
                <c:pt idx="28">
                  <c:v>CUST039</c:v>
                </c:pt>
                <c:pt idx="29">
                  <c:v>CUST040</c:v>
                </c:pt>
                <c:pt idx="30">
                  <c:v>CUST041</c:v>
                </c:pt>
                <c:pt idx="31">
                  <c:v>CUST042</c:v>
                </c:pt>
                <c:pt idx="32">
                  <c:v>CUST043</c:v>
                </c:pt>
                <c:pt idx="33">
                  <c:v>CUST044</c:v>
                </c:pt>
                <c:pt idx="34">
                  <c:v>CUST045</c:v>
                </c:pt>
                <c:pt idx="35">
                  <c:v>CUST046</c:v>
                </c:pt>
                <c:pt idx="36">
                  <c:v>CUST047</c:v>
                </c:pt>
                <c:pt idx="37">
                  <c:v>CUST048</c:v>
                </c:pt>
                <c:pt idx="38">
                  <c:v>CUST050</c:v>
                </c:pt>
              </c:strCache>
            </c:strRef>
          </c:cat>
          <c:val>
            <c:numRef>
              <c:f>Sheet9!$B$4:$B$43</c:f>
              <c:numCache>
                <c:formatCode>General</c:formatCode>
                <c:ptCount val="39"/>
                <c:pt idx="0">
                  <c:v>6</c:v>
                </c:pt>
                <c:pt idx="1">
                  <c:v>6</c:v>
                </c:pt>
                <c:pt idx="2">
                  <c:v>20</c:v>
                </c:pt>
                <c:pt idx="3">
                  <c:v>14</c:v>
                </c:pt>
                <c:pt idx="4">
                  <c:v>10</c:v>
                </c:pt>
                <c:pt idx="5">
                  <c:v>13</c:v>
                </c:pt>
                <c:pt idx="6">
                  <c:v>8</c:v>
                </c:pt>
                <c:pt idx="7">
                  <c:v>2</c:v>
                </c:pt>
                <c:pt idx="8">
                  <c:v>9</c:v>
                </c:pt>
                <c:pt idx="9">
                  <c:v>3</c:v>
                </c:pt>
                <c:pt idx="10">
                  <c:v>6</c:v>
                </c:pt>
                <c:pt idx="11">
                  <c:v>14</c:v>
                </c:pt>
                <c:pt idx="12">
                  <c:v>14</c:v>
                </c:pt>
                <c:pt idx="13">
                  <c:v>8</c:v>
                </c:pt>
                <c:pt idx="14">
                  <c:v>15</c:v>
                </c:pt>
                <c:pt idx="15">
                  <c:v>2</c:v>
                </c:pt>
                <c:pt idx="16">
                  <c:v>4</c:v>
                </c:pt>
                <c:pt idx="17">
                  <c:v>5</c:v>
                </c:pt>
                <c:pt idx="18">
                  <c:v>5</c:v>
                </c:pt>
                <c:pt idx="19">
                  <c:v>9</c:v>
                </c:pt>
                <c:pt idx="20">
                  <c:v>4</c:v>
                </c:pt>
                <c:pt idx="21">
                  <c:v>2</c:v>
                </c:pt>
                <c:pt idx="22">
                  <c:v>5</c:v>
                </c:pt>
                <c:pt idx="23">
                  <c:v>6</c:v>
                </c:pt>
                <c:pt idx="24">
                  <c:v>5</c:v>
                </c:pt>
                <c:pt idx="25">
                  <c:v>4</c:v>
                </c:pt>
                <c:pt idx="26">
                  <c:v>3</c:v>
                </c:pt>
                <c:pt idx="27">
                  <c:v>9</c:v>
                </c:pt>
                <c:pt idx="28">
                  <c:v>4</c:v>
                </c:pt>
                <c:pt idx="29">
                  <c:v>7</c:v>
                </c:pt>
                <c:pt idx="30">
                  <c:v>6</c:v>
                </c:pt>
                <c:pt idx="31">
                  <c:v>13</c:v>
                </c:pt>
                <c:pt idx="32">
                  <c:v>8</c:v>
                </c:pt>
                <c:pt idx="33">
                  <c:v>12</c:v>
                </c:pt>
                <c:pt idx="34">
                  <c:v>14</c:v>
                </c:pt>
                <c:pt idx="35">
                  <c:v>6</c:v>
                </c:pt>
                <c:pt idx="36">
                  <c:v>3</c:v>
                </c:pt>
                <c:pt idx="37">
                  <c:v>8</c:v>
                </c:pt>
                <c:pt idx="38">
                  <c:v>4</c:v>
                </c:pt>
              </c:numCache>
            </c:numRef>
          </c:val>
          <c:extLst>
            <c:ext xmlns:c16="http://schemas.microsoft.com/office/drawing/2014/chart" uri="{C3380CC4-5D6E-409C-BE32-E72D297353CC}">
              <c16:uniqueId val="{00000000-728E-4C46-AAE3-2E7C8161758B}"/>
            </c:ext>
          </c:extLst>
        </c:ser>
        <c:dLbls>
          <c:showLegendKey val="0"/>
          <c:showVal val="0"/>
          <c:showCatName val="0"/>
          <c:showSerName val="0"/>
          <c:showPercent val="0"/>
          <c:showBubbleSize val="0"/>
        </c:dLbls>
        <c:gapWidth val="219"/>
        <c:overlap val="-27"/>
        <c:axId val="1966343007"/>
        <c:axId val="1966345887"/>
      </c:barChart>
      <c:catAx>
        <c:axId val="19663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345887"/>
        <c:crosses val="autoZero"/>
        <c:auto val="1"/>
        <c:lblAlgn val="ctr"/>
        <c:lblOffset val="100"/>
        <c:noMultiLvlLbl val="0"/>
      </c:catAx>
      <c:valAx>
        <c:axId val="196634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34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856481481481484"/>
          <c:w val="0.74845603674540684"/>
          <c:h val="0.65246391076115473"/>
        </c:manualLayout>
      </c:layout>
      <c:barChart>
        <c:barDir val="col"/>
        <c:grouping val="clustered"/>
        <c:varyColors val="0"/>
        <c:ser>
          <c:idx val="0"/>
          <c:order val="0"/>
          <c:tx>
            <c:strRef>
              <c:f>Sheet1!$B$3</c:f>
              <c:strCache>
                <c:ptCount val="1"/>
                <c:pt idx="0">
                  <c:v>Total</c:v>
                </c:pt>
              </c:strCache>
            </c:strRef>
          </c:tx>
          <c:spPr>
            <a:solidFill>
              <a:schemeClr val="accent1"/>
            </a:solidFill>
            <a:ln>
              <a:solidFill>
                <a:schemeClr val="accent4"/>
              </a:solidFill>
            </a:ln>
            <a:effectLst/>
          </c:spPr>
          <c:invertIfNegative val="0"/>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EDAC-46A5-B0EB-5F128A132F76}"/>
            </c:ext>
          </c:extLst>
        </c:ser>
        <c:dLbls>
          <c:showLegendKey val="0"/>
          <c:showVal val="0"/>
          <c:showCatName val="0"/>
          <c:showSerName val="0"/>
          <c:showPercent val="0"/>
          <c:showBubbleSize val="0"/>
        </c:dLbls>
        <c:gapWidth val="219"/>
        <c:overlap val="-27"/>
        <c:axId val="1348493775"/>
        <c:axId val="1348494255"/>
      </c:barChart>
      <c:catAx>
        <c:axId val="134849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4255"/>
        <c:crosses val="autoZero"/>
        <c:auto val="1"/>
        <c:lblAlgn val="ctr"/>
        <c:lblOffset val="100"/>
        <c:noMultiLvlLbl val="0"/>
      </c:catAx>
      <c:valAx>
        <c:axId val="134849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377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6600CC"/>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 2!PivotTable2</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 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46-45C2-802D-14BB327B50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46-45C2-802D-14BB327B50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46-45C2-802D-14BB327B50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46-45C2-802D-14BB327B50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46-45C2-802D-14BB327B506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2'!$A$4:$A$9</c:f>
              <c:strCache>
                <c:ptCount val="5"/>
                <c:pt idx="0">
                  <c:v>Amazon Pay</c:v>
                </c:pt>
                <c:pt idx="1">
                  <c:v>Apple Pay</c:v>
                </c:pt>
                <c:pt idx="2">
                  <c:v>Credit Card</c:v>
                </c:pt>
                <c:pt idx="3">
                  <c:v>Debit Card</c:v>
                </c:pt>
                <c:pt idx="4">
                  <c:v>PayPal</c:v>
                </c:pt>
              </c:strCache>
            </c:strRef>
          </c:cat>
          <c:val>
            <c:numRef>
              <c:f>'SHEET 2'!$B$4:$B$9</c:f>
              <c:numCache>
                <c:formatCode>General</c:formatCode>
                <c:ptCount val="5"/>
                <c:pt idx="0">
                  <c:v>4374</c:v>
                </c:pt>
                <c:pt idx="1">
                  <c:v>5452</c:v>
                </c:pt>
                <c:pt idx="2">
                  <c:v>9398</c:v>
                </c:pt>
                <c:pt idx="3">
                  <c:v>8326</c:v>
                </c:pt>
                <c:pt idx="4">
                  <c:v>5521</c:v>
                </c:pt>
              </c:numCache>
            </c:numRef>
          </c:val>
          <c:extLst>
            <c:ext xmlns:c16="http://schemas.microsoft.com/office/drawing/2014/chart" uri="{C3380CC4-5D6E-409C-BE32-E72D297353CC}">
              <c16:uniqueId val="{0000000A-F546-45C2-802D-14BB327B50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project.xlsx]Sheet4!PivotTable3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DELIVERY STATUS</a:t>
            </a:r>
          </a:p>
          <a:p>
            <a:pPr>
              <a:defRPr/>
            </a:pPr>
            <a:endParaRPr lang="en-IN"/>
          </a:p>
          <a:p>
            <a:pPr>
              <a:defRPr/>
            </a:pPr>
            <a:endParaRPr lang="en-IN"/>
          </a:p>
        </c:rich>
      </c:tx>
      <c:layout>
        <c:manualLayout>
          <c:xMode val="edge"/>
          <c:yMode val="edge"/>
          <c:x val="0.3551041119860017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666601049868769"/>
          <c:y val="0.29189596092155146"/>
          <c:w val="0.31652909011373576"/>
          <c:h val="0.52754848352289296"/>
        </c:manualLayout>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9-416E-89FC-1CC0C4997F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9-416E-89FC-1CC0C4997F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F9-416E-89FC-1CC0C4997F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Cancelled</c:v>
                </c:pt>
                <c:pt idx="1">
                  <c:v>Delivered</c:v>
                </c:pt>
                <c:pt idx="2">
                  <c:v>In Transit</c:v>
                </c:pt>
              </c:strCache>
            </c:strRef>
          </c:cat>
          <c:val>
            <c:numRef>
              <c:f>Sheet4!$B$4:$B$7</c:f>
              <c:numCache>
                <c:formatCode>General</c:formatCode>
                <c:ptCount val="3"/>
                <c:pt idx="0">
                  <c:v>6181</c:v>
                </c:pt>
                <c:pt idx="1">
                  <c:v>12942</c:v>
                </c:pt>
                <c:pt idx="2">
                  <c:v>13948</c:v>
                </c:pt>
              </c:numCache>
            </c:numRef>
          </c:val>
          <c:extLst>
            <c:ext xmlns:c16="http://schemas.microsoft.com/office/drawing/2014/chart" uri="{C3380CC4-5D6E-409C-BE32-E72D297353CC}">
              <c16:uniqueId val="{00000006-CEF9-416E-89FC-1CC0C4997F8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project.xlsx]Sheet6!PivotTable4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08180227471566"/>
          <c:y val="0.16664953339165939"/>
          <c:w val="0.62784405074365701"/>
          <c:h val="0.72595107903178768"/>
        </c:manualLayout>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Sheet6!$A$4:$A$26</c:f>
              <c:strCache>
                <c:ptCount val="22"/>
                <c:pt idx="0">
                  <c:v>Action Figure</c:v>
                </c:pt>
                <c:pt idx="1">
                  <c:v>Backpack</c:v>
                </c:pt>
                <c:pt idx="2">
                  <c:v>Bluetooth Speaker</c:v>
                </c:pt>
                <c:pt idx="3">
                  <c:v>Cookware Set</c:v>
                </c:pt>
                <c:pt idx="4">
                  <c:v>Cookware Set Pro</c:v>
                </c:pt>
                <c:pt idx="5">
                  <c:v>Doll House</c:v>
                </c:pt>
                <c:pt idx="6">
                  <c:v>Formal Shirt</c:v>
                </c:pt>
                <c:pt idx="7">
                  <c:v>Gaming Mouse</c:v>
                </c:pt>
                <c:pt idx="8">
                  <c:v>Headphones</c:v>
                </c:pt>
                <c:pt idx="9">
                  <c:v>Jeans</c:v>
                </c:pt>
                <c:pt idx="10">
                  <c:v>Lamp</c:v>
                </c:pt>
                <c:pt idx="11">
                  <c:v>Leg Set</c:v>
                </c:pt>
                <c:pt idx="12">
                  <c:v>Magazine</c:v>
                </c:pt>
                <c:pt idx="13">
                  <c:v>Novel</c:v>
                </c:pt>
                <c:pt idx="14">
                  <c:v>Puzzle</c:v>
                </c:pt>
                <c:pt idx="15">
                  <c:v>Shoes</c:v>
                </c:pt>
                <c:pt idx="16">
                  <c:v>Smartphone</c:v>
                </c:pt>
                <c:pt idx="17">
                  <c:v>Smartwatch</c:v>
                </c:pt>
                <c:pt idx="18">
                  <c:v>Textbook</c:v>
                </c:pt>
                <c:pt idx="19">
                  <c:v>T-Shirt</c:v>
                </c:pt>
                <c:pt idx="20">
                  <c:v>Vacuum Cleaner</c:v>
                </c:pt>
                <c:pt idx="21">
                  <c:v>Wall Clock</c:v>
                </c:pt>
              </c:strCache>
            </c:strRef>
          </c:cat>
          <c:val>
            <c:numRef>
              <c:f>Sheet6!$B$4:$B$26</c:f>
              <c:numCache>
                <c:formatCode>General</c:formatCode>
                <c:ptCount val="22"/>
                <c:pt idx="0">
                  <c:v>669</c:v>
                </c:pt>
                <c:pt idx="1">
                  <c:v>518</c:v>
                </c:pt>
                <c:pt idx="2">
                  <c:v>731</c:v>
                </c:pt>
                <c:pt idx="3">
                  <c:v>2496</c:v>
                </c:pt>
                <c:pt idx="4">
                  <c:v>5151</c:v>
                </c:pt>
                <c:pt idx="5">
                  <c:v>1530</c:v>
                </c:pt>
                <c:pt idx="6">
                  <c:v>995</c:v>
                </c:pt>
                <c:pt idx="7">
                  <c:v>1392</c:v>
                </c:pt>
                <c:pt idx="8">
                  <c:v>172</c:v>
                </c:pt>
                <c:pt idx="9">
                  <c:v>581</c:v>
                </c:pt>
                <c:pt idx="10">
                  <c:v>320</c:v>
                </c:pt>
                <c:pt idx="11">
                  <c:v>1124</c:v>
                </c:pt>
                <c:pt idx="12">
                  <c:v>165</c:v>
                </c:pt>
                <c:pt idx="13">
                  <c:v>210</c:v>
                </c:pt>
                <c:pt idx="14">
                  <c:v>188</c:v>
                </c:pt>
                <c:pt idx="15">
                  <c:v>1239</c:v>
                </c:pt>
                <c:pt idx="16">
                  <c:v>9644</c:v>
                </c:pt>
                <c:pt idx="17">
                  <c:v>2230</c:v>
                </c:pt>
                <c:pt idx="18">
                  <c:v>973</c:v>
                </c:pt>
                <c:pt idx="19">
                  <c:v>539</c:v>
                </c:pt>
                <c:pt idx="20">
                  <c:v>1364</c:v>
                </c:pt>
                <c:pt idx="21">
                  <c:v>840</c:v>
                </c:pt>
              </c:numCache>
            </c:numRef>
          </c:val>
          <c:extLst>
            <c:ext xmlns:c16="http://schemas.microsoft.com/office/drawing/2014/chart" uri="{C3380CC4-5D6E-409C-BE32-E72D297353CC}">
              <c16:uniqueId val="{00000000-9C02-449F-8759-EF42B67C69B2}"/>
            </c:ext>
          </c:extLst>
        </c:ser>
        <c:dLbls>
          <c:showLegendKey val="0"/>
          <c:showVal val="0"/>
          <c:showCatName val="0"/>
          <c:showSerName val="0"/>
          <c:showPercent val="0"/>
          <c:showBubbleSize val="0"/>
        </c:dLbls>
        <c:gapWidth val="182"/>
        <c:axId val="1361434127"/>
        <c:axId val="1351535871"/>
      </c:barChart>
      <c:catAx>
        <c:axId val="136143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35871"/>
        <c:crosses val="autoZero"/>
        <c:auto val="1"/>
        <c:lblAlgn val="ctr"/>
        <c:lblOffset val="100"/>
        <c:noMultiLvlLbl val="0"/>
      </c:catAx>
      <c:valAx>
        <c:axId val="1351535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34127"/>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plotArea>
    <c:legend>
      <c:legendPos val="r"/>
      <c:overlay val="0"/>
      <c:spPr>
        <a:no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project.xlsx]Sheet9!PivotTable1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Sheet9!$A$4:$A$43</c:f>
              <c:strCache>
                <c:ptCount val="39"/>
                <c:pt idx="0">
                  <c:v>CUST004</c:v>
                </c:pt>
                <c:pt idx="1">
                  <c:v>CUST006</c:v>
                </c:pt>
                <c:pt idx="2">
                  <c:v>CUST007</c:v>
                </c:pt>
                <c:pt idx="3">
                  <c:v>CUST009</c:v>
                </c:pt>
                <c:pt idx="4">
                  <c:v>CUST011</c:v>
                </c:pt>
                <c:pt idx="5">
                  <c:v>CUST013</c:v>
                </c:pt>
                <c:pt idx="6">
                  <c:v>CUST014</c:v>
                </c:pt>
                <c:pt idx="7">
                  <c:v>CUST015</c:v>
                </c:pt>
                <c:pt idx="8">
                  <c:v>CUST016</c:v>
                </c:pt>
                <c:pt idx="9">
                  <c:v>CUST017</c:v>
                </c:pt>
                <c:pt idx="10">
                  <c:v>CUST018</c:v>
                </c:pt>
                <c:pt idx="11">
                  <c:v>CUST019</c:v>
                </c:pt>
                <c:pt idx="12">
                  <c:v>CUST021</c:v>
                </c:pt>
                <c:pt idx="13">
                  <c:v>CUST022</c:v>
                </c:pt>
                <c:pt idx="14">
                  <c:v>CUST023</c:v>
                </c:pt>
                <c:pt idx="15">
                  <c:v>CUST024</c:v>
                </c:pt>
                <c:pt idx="16">
                  <c:v>CUST025</c:v>
                </c:pt>
                <c:pt idx="17">
                  <c:v>CUST026</c:v>
                </c:pt>
                <c:pt idx="18">
                  <c:v>CUST027</c:v>
                </c:pt>
                <c:pt idx="19">
                  <c:v>CUST028</c:v>
                </c:pt>
                <c:pt idx="20">
                  <c:v>CUST029</c:v>
                </c:pt>
                <c:pt idx="21">
                  <c:v>CUST031</c:v>
                </c:pt>
                <c:pt idx="22">
                  <c:v>CUST032</c:v>
                </c:pt>
                <c:pt idx="23">
                  <c:v>CUST033</c:v>
                </c:pt>
                <c:pt idx="24">
                  <c:v>CUST034</c:v>
                </c:pt>
                <c:pt idx="25">
                  <c:v>CUST035</c:v>
                </c:pt>
                <c:pt idx="26">
                  <c:v>CUST036</c:v>
                </c:pt>
                <c:pt idx="27">
                  <c:v>CUST037</c:v>
                </c:pt>
                <c:pt idx="28">
                  <c:v>CUST039</c:v>
                </c:pt>
                <c:pt idx="29">
                  <c:v>CUST040</c:v>
                </c:pt>
                <c:pt idx="30">
                  <c:v>CUST041</c:v>
                </c:pt>
                <c:pt idx="31">
                  <c:v>CUST042</c:v>
                </c:pt>
                <c:pt idx="32">
                  <c:v>CUST043</c:v>
                </c:pt>
                <c:pt idx="33">
                  <c:v>CUST044</c:v>
                </c:pt>
                <c:pt idx="34">
                  <c:v>CUST045</c:v>
                </c:pt>
                <c:pt idx="35">
                  <c:v>CUST046</c:v>
                </c:pt>
                <c:pt idx="36">
                  <c:v>CUST047</c:v>
                </c:pt>
                <c:pt idx="37">
                  <c:v>CUST048</c:v>
                </c:pt>
                <c:pt idx="38">
                  <c:v>CUST050</c:v>
                </c:pt>
              </c:strCache>
            </c:strRef>
          </c:cat>
          <c:val>
            <c:numRef>
              <c:f>Sheet9!$B$4:$B$43</c:f>
              <c:numCache>
                <c:formatCode>General</c:formatCode>
                <c:ptCount val="39"/>
                <c:pt idx="0">
                  <c:v>6</c:v>
                </c:pt>
                <c:pt idx="1">
                  <c:v>6</c:v>
                </c:pt>
                <c:pt idx="2">
                  <c:v>20</c:v>
                </c:pt>
                <c:pt idx="3">
                  <c:v>14</c:v>
                </c:pt>
                <c:pt idx="4">
                  <c:v>10</c:v>
                </c:pt>
                <c:pt idx="5">
                  <c:v>13</c:v>
                </c:pt>
                <c:pt idx="6">
                  <c:v>8</c:v>
                </c:pt>
                <c:pt idx="7">
                  <c:v>2</c:v>
                </c:pt>
                <c:pt idx="8">
                  <c:v>9</c:v>
                </c:pt>
                <c:pt idx="9">
                  <c:v>3</c:v>
                </c:pt>
                <c:pt idx="10">
                  <c:v>6</c:v>
                </c:pt>
                <c:pt idx="11">
                  <c:v>14</c:v>
                </c:pt>
                <c:pt idx="12">
                  <c:v>14</c:v>
                </c:pt>
                <c:pt idx="13">
                  <c:v>8</c:v>
                </c:pt>
                <c:pt idx="14">
                  <c:v>15</c:v>
                </c:pt>
                <c:pt idx="15">
                  <c:v>2</c:v>
                </c:pt>
                <c:pt idx="16">
                  <c:v>4</c:v>
                </c:pt>
                <c:pt idx="17">
                  <c:v>5</c:v>
                </c:pt>
                <c:pt idx="18">
                  <c:v>5</c:v>
                </c:pt>
                <c:pt idx="19">
                  <c:v>9</c:v>
                </c:pt>
                <c:pt idx="20">
                  <c:v>4</c:v>
                </c:pt>
                <c:pt idx="21">
                  <c:v>2</c:v>
                </c:pt>
                <c:pt idx="22">
                  <c:v>5</c:v>
                </c:pt>
                <c:pt idx="23">
                  <c:v>6</c:v>
                </c:pt>
                <c:pt idx="24">
                  <c:v>5</c:v>
                </c:pt>
                <c:pt idx="25">
                  <c:v>4</c:v>
                </c:pt>
                <c:pt idx="26">
                  <c:v>3</c:v>
                </c:pt>
                <c:pt idx="27">
                  <c:v>9</c:v>
                </c:pt>
                <c:pt idx="28">
                  <c:v>4</c:v>
                </c:pt>
                <c:pt idx="29">
                  <c:v>7</c:v>
                </c:pt>
                <c:pt idx="30">
                  <c:v>6</c:v>
                </c:pt>
                <c:pt idx="31">
                  <c:v>13</c:v>
                </c:pt>
                <c:pt idx="32">
                  <c:v>8</c:v>
                </c:pt>
                <c:pt idx="33">
                  <c:v>12</c:v>
                </c:pt>
                <c:pt idx="34">
                  <c:v>14</c:v>
                </c:pt>
                <c:pt idx="35">
                  <c:v>6</c:v>
                </c:pt>
                <c:pt idx="36">
                  <c:v>3</c:v>
                </c:pt>
                <c:pt idx="37">
                  <c:v>8</c:v>
                </c:pt>
                <c:pt idx="38">
                  <c:v>4</c:v>
                </c:pt>
              </c:numCache>
            </c:numRef>
          </c:val>
          <c:extLst>
            <c:ext xmlns:c16="http://schemas.microsoft.com/office/drawing/2014/chart" uri="{C3380CC4-5D6E-409C-BE32-E72D297353CC}">
              <c16:uniqueId val="{00000000-7CF2-46D0-87E6-7993A09DC933}"/>
            </c:ext>
          </c:extLst>
        </c:ser>
        <c:dLbls>
          <c:showLegendKey val="0"/>
          <c:showVal val="0"/>
          <c:showCatName val="0"/>
          <c:showSerName val="0"/>
          <c:showPercent val="0"/>
          <c:showBubbleSize val="0"/>
        </c:dLbls>
        <c:gapWidth val="219"/>
        <c:overlap val="-27"/>
        <c:axId val="1966343007"/>
        <c:axId val="1966345887"/>
      </c:barChart>
      <c:catAx>
        <c:axId val="19663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345887"/>
        <c:crosses val="autoZero"/>
        <c:auto val="1"/>
        <c:lblAlgn val="ctr"/>
        <c:lblOffset val="100"/>
        <c:noMultiLvlLbl val="0"/>
      </c:catAx>
      <c:valAx>
        <c:axId val="196634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34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[abhay sharma project.xlsx]Sheet6!PivotTable4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12292447401296"/>
          <c:y val="0.13875422788646263"/>
          <c:w val="0.62784405074365701"/>
          <c:h val="0.72595107903178768"/>
        </c:manualLayout>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Sheet6!$A$4:$A$26</c:f>
              <c:strCache>
                <c:ptCount val="22"/>
                <c:pt idx="0">
                  <c:v>Action Figure</c:v>
                </c:pt>
                <c:pt idx="1">
                  <c:v>Backpack</c:v>
                </c:pt>
                <c:pt idx="2">
                  <c:v>Bluetooth Speaker</c:v>
                </c:pt>
                <c:pt idx="3">
                  <c:v>Cookware Set</c:v>
                </c:pt>
                <c:pt idx="4">
                  <c:v>Cookware Set Pro</c:v>
                </c:pt>
                <c:pt idx="5">
                  <c:v>Doll House</c:v>
                </c:pt>
                <c:pt idx="6">
                  <c:v>Formal Shirt</c:v>
                </c:pt>
                <c:pt idx="7">
                  <c:v>Gaming Mouse</c:v>
                </c:pt>
                <c:pt idx="8">
                  <c:v>Headphones</c:v>
                </c:pt>
                <c:pt idx="9">
                  <c:v>Jeans</c:v>
                </c:pt>
                <c:pt idx="10">
                  <c:v>Lamp</c:v>
                </c:pt>
                <c:pt idx="11">
                  <c:v>Leg Set</c:v>
                </c:pt>
                <c:pt idx="12">
                  <c:v>Magazine</c:v>
                </c:pt>
                <c:pt idx="13">
                  <c:v>Novel</c:v>
                </c:pt>
                <c:pt idx="14">
                  <c:v>Puzzle</c:v>
                </c:pt>
                <c:pt idx="15">
                  <c:v>Shoes</c:v>
                </c:pt>
                <c:pt idx="16">
                  <c:v>Smartphone</c:v>
                </c:pt>
                <c:pt idx="17">
                  <c:v>Smartwatch</c:v>
                </c:pt>
                <c:pt idx="18">
                  <c:v>Textbook</c:v>
                </c:pt>
                <c:pt idx="19">
                  <c:v>T-Shirt</c:v>
                </c:pt>
                <c:pt idx="20">
                  <c:v>Vacuum Cleaner</c:v>
                </c:pt>
                <c:pt idx="21">
                  <c:v>Wall Clock</c:v>
                </c:pt>
              </c:strCache>
            </c:strRef>
          </c:cat>
          <c:val>
            <c:numRef>
              <c:f>Sheet6!$B$4:$B$26</c:f>
              <c:numCache>
                <c:formatCode>General</c:formatCode>
                <c:ptCount val="22"/>
                <c:pt idx="0">
                  <c:v>669</c:v>
                </c:pt>
                <c:pt idx="1">
                  <c:v>518</c:v>
                </c:pt>
                <c:pt idx="2">
                  <c:v>731</c:v>
                </c:pt>
                <c:pt idx="3">
                  <c:v>2496</c:v>
                </c:pt>
                <c:pt idx="4">
                  <c:v>5151</c:v>
                </c:pt>
                <c:pt idx="5">
                  <c:v>1530</c:v>
                </c:pt>
                <c:pt idx="6">
                  <c:v>995</c:v>
                </c:pt>
                <c:pt idx="7">
                  <c:v>1392</c:v>
                </c:pt>
                <c:pt idx="8">
                  <c:v>172</c:v>
                </c:pt>
                <c:pt idx="9">
                  <c:v>581</c:v>
                </c:pt>
                <c:pt idx="10">
                  <c:v>320</c:v>
                </c:pt>
                <c:pt idx="11">
                  <c:v>1124</c:v>
                </c:pt>
                <c:pt idx="12">
                  <c:v>165</c:v>
                </c:pt>
                <c:pt idx="13">
                  <c:v>210</c:v>
                </c:pt>
                <c:pt idx="14">
                  <c:v>188</c:v>
                </c:pt>
                <c:pt idx="15">
                  <c:v>1239</c:v>
                </c:pt>
                <c:pt idx="16">
                  <c:v>9644</c:v>
                </c:pt>
                <c:pt idx="17">
                  <c:v>2230</c:v>
                </c:pt>
                <c:pt idx="18">
                  <c:v>973</c:v>
                </c:pt>
                <c:pt idx="19">
                  <c:v>539</c:v>
                </c:pt>
                <c:pt idx="20">
                  <c:v>1364</c:v>
                </c:pt>
                <c:pt idx="21">
                  <c:v>840</c:v>
                </c:pt>
              </c:numCache>
            </c:numRef>
          </c:val>
          <c:extLst>
            <c:ext xmlns:c16="http://schemas.microsoft.com/office/drawing/2014/chart" uri="{C3380CC4-5D6E-409C-BE32-E72D297353CC}">
              <c16:uniqueId val="{00000000-FD0A-415B-B364-8126F9313440}"/>
            </c:ext>
          </c:extLst>
        </c:ser>
        <c:dLbls>
          <c:showLegendKey val="0"/>
          <c:showVal val="0"/>
          <c:showCatName val="0"/>
          <c:showSerName val="0"/>
          <c:showPercent val="0"/>
          <c:showBubbleSize val="0"/>
        </c:dLbls>
        <c:gapWidth val="182"/>
        <c:axId val="1361434127"/>
        <c:axId val="1351535871"/>
      </c:barChart>
      <c:catAx>
        <c:axId val="136143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35871"/>
        <c:crosses val="autoZero"/>
        <c:auto val="1"/>
        <c:lblAlgn val="ctr"/>
        <c:lblOffset val="100"/>
        <c:noMultiLvlLbl val="0"/>
      </c:catAx>
      <c:valAx>
        <c:axId val="1351535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34127"/>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514350</xdr:colOff>
      <xdr:row>3</xdr:row>
      <xdr:rowOff>119062</xdr:rowOff>
    </xdr:from>
    <xdr:to>
      <xdr:col>11</xdr:col>
      <xdr:colOff>209550</xdr:colOff>
      <xdr:row>18</xdr:row>
      <xdr:rowOff>4762</xdr:rowOff>
    </xdr:to>
    <xdr:graphicFrame macro="">
      <xdr:nvGraphicFramePr>
        <xdr:cNvPr id="2" name="Chart 1">
          <a:extLst>
            <a:ext uri="{FF2B5EF4-FFF2-40B4-BE49-F238E27FC236}">
              <a16:creationId xmlns:a16="http://schemas.microsoft.com/office/drawing/2014/main" id="{B2E4E1E2-2C7F-A10F-FE18-239AC6219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3</xdr:row>
      <xdr:rowOff>90487</xdr:rowOff>
    </xdr:from>
    <xdr:to>
      <xdr:col>13</xdr:col>
      <xdr:colOff>285750</xdr:colOff>
      <xdr:row>17</xdr:row>
      <xdr:rowOff>166687</xdr:rowOff>
    </xdr:to>
    <xdr:graphicFrame macro="">
      <xdr:nvGraphicFramePr>
        <xdr:cNvPr id="2" name="Chart 1">
          <a:extLst>
            <a:ext uri="{FF2B5EF4-FFF2-40B4-BE49-F238E27FC236}">
              <a16:creationId xmlns:a16="http://schemas.microsoft.com/office/drawing/2014/main" id="{F4BF4EB5-FEB9-0FBE-BEFF-4234CFDF0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2</xdr:row>
      <xdr:rowOff>185737</xdr:rowOff>
    </xdr:from>
    <xdr:to>
      <xdr:col>11</xdr:col>
      <xdr:colOff>333375</xdr:colOff>
      <xdr:row>17</xdr:row>
      <xdr:rowOff>71437</xdr:rowOff>
    </xdr:to>
    <xdr:graphicFrame macro="">
      <xdr:nvGraphicFramePr>
        <xdr:cNvPr id="4" name="Chart 3">
          <a:extLst>
            <a:ext uri="{FF2B5EF4-FFF2-40B4-BE49-F238E27FC236}">
              <a16:creationId xmlns:a16="http://schemas.microsoft.com/office/drawing/2014/main" id="{EA716DF5-BAEB-3422-6E84-22E07C41E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3</xdr:row>
      <xdr:rowOff>147637</xdr:rowOff>
    </xdr:from>
    <xdr:to>
      <xdr:col>11</xdr:col>
      <xdr:colOff>114300</xdr:colOff>
      <xdr:row>18</xdr:row>
      <xdr:rowOff>33337</xdr:rowOff>
    </xdr:to>
    <xdr:graphicFrame macro="">
      <xdr:nvGraphicFramePr>
        <xdr:cNvPr id="3" name="Chart 2">
          <a:extLst>
            <a:ext uri="{FF2B5EF4-FFF2-40B4-BE49-F238E27FC236}">
              <a16:creationId xmlns:a16="http://schemas.microsoft.com/office/drawing/2014/main" id="{6834D580-1C39-BB61-9295-438551C59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504825</xdr:colOff>
      <xdr:row>2</xdr:row>
      <xdr:rowOff>157162</xdr:rowOff>
    </xdr:from>
    <xdr:to>
      <xdr:col>11</xdr:col>
      <xdr:colOff>200025</xdr:colOff>
      <xdr:row>17</xdr:row>
      <xdr:rowOff>42862</xdr:rowOff>
    </xdr:to>
    <xdr:graphicFrame macro="">
      <xdr:nvGraphicFramePr>
        <xdr:cNvPr id="2" name="Chart 1">
          <a:extLst>
            <a:ext uri="{FF2B5EF4-FFF2-40B4-BE49-F238E27FC236}">
              <a16:creationId xmlns:a16="http://schemas.microsoft.com/office/drawing/2014/main" id="{76E6881F-1E31-B786-4E50-EACEEA9DF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xdr:colOff>
      <xdr:row>3</xdr:row>
      <xdr:rowOff>52387</xdr:rowOff>
    </xdr:from>
    <xdr:to>
      <xdr:col>11</xdr:col>
      <xdr:colOff>342900</xdr:colOff>
      <xdr:row>17</xdr:row>
      <xdr:rowOff>128587</xdr:rowOff>
    </xdr:to>
    <xdr:graphicFrame macro="">
      <xdr:nvGraphicFramePr>
        <xdr:cNvPr id="2" name="Chart 1">
          <a:extLst>
            <a:ext uri="{FF2B5EF4-FFF2-40B4-BE49-F238E27FC236}">
              <a16:creationId xmlns:a16="http://schemas.microsoft.com/office/drawing/2014/main" id="{2C3DCE7A-3721-D36D-2961-0B1984EBE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490537</xdr:colOff>
      <xdr:row>3</xdr:row>
      <xdr:rowOff>0</xdr:rowOff>
    </xdr:from>
    <xdr:to>
      <xdr:col>10</xdr:col>
      <xdr:colOff>261937</xdr:colOff>
      <xdr:row>18</xdr:row>
      <xdr:rowOff>28575</xdr:rowOff>
    </xdr:to>
    <xdr:graphicFrame macro="">
      <xdr:nvGraphicFramePr>
        <xdr:cNvPr id="2" name="Chart 1">
          <a:extLst>
            <a:ext uri="{FF2B5EF4-FFF2-40B4-BE49-F238E27FC236}">
              <a16:creationId xmlns:a16="http://schemas.microsoft.com/office/drawing/2014/main" id="{EA9A206C-0AA9-A723-7208-ACACE6CD6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590550</xdr:colOff>
      <xdr:row>7</xdr:row>
      <xdr:rowOff>152400</xdr:rowOff>
    </xdr:from>
    <xdr:to>
      <xdr:col>13</xdr:col>
      <xdr:colOff>285750</xdr:colOff>
      <xdr:row>22</xdr:row>
      <xdr:rowOff>38100</xdr:rowOff>
    </xdr:to>
    <xdr:graphicFrame macro="">
      <xdr:nvGraphicFramePr>
        <xdr:cNvPr id="2" name="Chart 1">
          <a:extLst>
            <a:ext uri="{FF2B5EF4-FFF2-40B4-BE49-F238E27FC236}">
              <a16:creationId xmlns:a16="http://schemas.microsoft.com/office/drawing/2014/main" id="{7D7F7080-A720-4079-A88D-C30127D3E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9525</xdr:colOff>
      <xdr:row>8</xdr:row>
      <xdr:rowOff>57150</xdr:rowOff>
    </xdr:from>
    <xdr:to>
      <xdr:col>21</xdr:col>
      <xdr:colOff>314325</xdr:colOff>
      <xdr:row>22</xdr:row>
      <xdr:rowOff>133350</xdr:rowOff>
    </xdr:to>
    <xdr:graphicFrame macro="">
      <xdr:nvGraphicFramePr>
        <xdr:cNvPr id="3" name="Chart 2">
          <a:extLst>
            <a:ext uri="{FF2B5EF4-FFF2-40B4-BE49-F238E27FC236}">
              <a16:creationId xmlns:a16="http://schemas.microsoft.com/office/drawing/2014/main" id="{36702B20-DF3E-493A-A8ED-869EF562D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24</xdr:row>
      <xdr:rowOff>28575</xdr:rowOff>
    </xdr:from>
    <xdr:to>
      <xdr:col>13</xdr:col>
      <xdr:colOff>323850</xdr:colOff>
      <xdr:row>38</xdr:row>
      <xdr:rowOff>104775</xdr:rowOff>
    </xdr:to>
    <xdr:graphicFrame macro="">
      <xdr:nvGraphicFramePr>
        <xdr:cNvPr id="4" name="Chart 3">
          <a:extLst>
            <a:ext uri="{FF2B5EF4-FFF2-40B4-BE49-F238E27FC236}">
              <a16:creationId xmlns:a16="http://schemas.microsoft.com/office/drawing/2014/main" id="{16110132-14A9-40AB-912E-AB2F44316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152400</xdr:colOff>
      <xdr:row>23</xdr:row>
      <xdr:rowOff>152400</xdr:rowOff>
    </xdr:from>
    <xdr:to>
      <xdr:col>21</xdr:col>
      <xdr:colOff>457200</xdr:colOff>
      <xdr:row>38</xdr:row>
      <xdr:rowOff>38100</xdr:rowOff>
    </xdr:to>
    <xdr:graphicFrame macro="">
      <xdr:nvGraphicFramePr>
        <xdr:cNvPr id="5" name="Chart 4">
          <a:extLst>
            <a:ext uri="{FF2B5EF4-FFF2-40B4-BE49-F238E27FC236}">
              <a16:creationId xmlns:a16="http://schemas.microsoft.com/office/drawing/2014/main" id="{D534CB38-3FA1-45C6-9D29-4E62415C7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85726</xdr:rowOff>
    </xdr:from>
    <xdr:to>
      <xdr:col>2</xdr:col>
      <xdr:colOff>409575</xdr:colOff>
      <xdr:row>17</xdr:row>
      <xdr:rowOff>114301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639B84F-730E-323A-6484-D0324A631C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09726"/>
              <a:ext cx="178117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180976</xdr:rowOff>
    </xdr:from>
    <xdr:to>
      <xdr:col>2</xdr:col>
      <xdr:colOff>400050</xdr:colOff>
      <xdr:row>25</xdr:row>
      <xdr:rowOff>266701</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8480F013-E3BD-A558-3785-70D87C6273D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3419476"/>
              <a:ext cx="177165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85726</xdr:rowOff>
    </xdr:from>
    <xdr:to>
      <xdr:col>2</xdr:col>
      <xdr:colOff>457200</xdr:colOff>
      <xdr:row>32</xdr:row>
      <xdr:rowOff>9525</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8CFFD647-DAF3-085A-6509-251063DF0255}"/>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5229226"/>
              <a:ext cx="1828800" cy="115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34</xdr:row>
      <xdr:rowOff>38100</xdr:rowOff>
    </xdr:from>
    <xdr:to>
      <xdr:col>2</xdr:col>
      <xdr:colOff>495300</xdr:colOff>
      <xdr:row>48</xdr:row>
      <xdr:rowOff>28575</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9A439A2E-1763-DC09-EFB9-00469E3EDD5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38100" y="6515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38100</xdr:colOff>
      <xdr:row>10</xdr:row>
      <xdr:rowOff>190499</xdr:rowOff>
    </xdr:from>
    <xdr:to>
      <xdr:col>28</xdr:col>
      <xdr:colOff>542925</xdr:colOff>
      <xdr:row>16</xdr:row>
      <xdr:rowOff>123824</xdr:rowOff>
    </xdr:to>
    <xdr:sp macro="" textlink="">
      <xdr:nvSpPr>
        <xdr:cNvPr id="10" name="Rectangle: Rounded Corners 9">
          <a:extLst>
            <a:ext uri="{FF2B5EF4-FFF2-40B4-BE49-F238E27FC236}">
              <a16:creationId xmlns:a16="http://schemas.microsoft.com/office/drawing/2014/main" id="{F656BB5C-3791-3433-D068-D3068A322073}"/>
            </a:ext>
          </a:extLst>
        </xdr:cNvPr>
        <xdr:cNvSpPr/>
      </xdr:nvSpPr>
      <xdr:spPr>
        <a:xfrm>
          <a:off x="15278100" y="2095499"/>
          <a:ext cx="2333625" cy="107632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a:t>
          </a:r>
          <a:r>
            <a:rPr lang="en-IN" sz="1800" baseline="0"/>
            <a:t> REVENUE</a:t>
          </a:r>
          <a:endParaRPr lang="en-IN" sz="1800"/>
        </a:p>
      </xdr:txBody>
    </xdr:sp>
    <xdr:clientData/>
  </xdr:twoCellAnchor>
  <xdr:twoCellAnchor>
    <xdr:from>
      <xdr:col>25</xdr:col>
      <xdr:colOff>409575</xdr:colOff>
      <xdr:row>13</xdr:row>
      <xdr:rowOff>85725</xdr:rowOff>
    </xdr:from>
    <xdr:to>
      <xdr:col>28</xdr:col>
      <xdr:colOff>0</xdr:colOff>
      <xdr:row>15</xdr:row>
      <xdr:rowOff>47625</xdr:rowOff>
    </xdr:to>
    <xdr:sp macro="" textlink="AF17">
      <xdr:nvSpPr>
        <xdr:cNvPr id="13" name="TextBox 12">
          <a:extLst>
            <a:ext uri="{FF2B5EF4-FFF2-40B4-BE49-F238E27FC236}">
              <a16:creationId xmlns:a16="http://schemas.microsoft.com/office/drawing/2014/main" id="{08547A13-4A93-2E19-8DCC-42D70108BDC5}"/>
            </a:ext>
          </a:extLst>
        </xdr:cNvPr>
        <xdr:cNvSpPr txBox="1"/>
      </xdr:nvSpPr>
      <xdr:spPr>
        <a:xfrm>
          <a:off x="15649575" y="2562225"/>
          <a:ext cx="141922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A980F9-47E5-4B71-9673-F2F84D4921FC}" type="TxLink">
            <a:rPr lang="en-US" sz="1100" b="0" i="0" u="none" strike="noStrike">
              <a:solidFill>
                <a:srgbClr val="000000"/>
              </a:solidFill>
              <a:latin typeface="Calibri"/>
              <a:ea typeface="Calibri"/>
              <a:cs typeface="Calibri"/>
            </a:rPr>
            <a:pPr/>
            <a:t>33071</a:t>
          </a:fld>
          <a:endParaRPr lang="en-IN" sz="1100"/>
        </a:p>
      </xdr:txBody>
    </xdr:sp>
    <xdr:clientData/>
  </xdr:twoCellAnchor>
  <xdr:oneCellAnchor>
    <xdr:from>
      <xdr:col>26</xdr:col>
      <xdr:colOff>209550</xdr:colOff>
      <xdr:row>23</xdr:row>
      <xdr:rowOff>57150</xdr:rowOff>
    </xdr:from>
    <xdr:ext cx="1047750" cy="264560"/>
    <xdr:sp macro="" textlink="">
      <xdr:nvSpPr>
        <xdr:cNvPr id="14" name="TextBox 13">
          <a:extLst>
            <a:ext uri="{FF2B5EF4-FFF2-40B4-BE49-F238E27FC236}">
              <a16:creationId xmlns:a16="http://schemas.microsoft.com/office/drawing/2014/main" id="{7FBFDB60-3B89-36C6-8DF8-F3C769287D8D}"/>
            </a:ext>
          </a:extLst>
        </xdr:cNvPr>
        <xdr:cNvSpPr txBox="1"/>
      </xdr:nvSpPr>
      <xdr:spPr>
        <a:xfrm>
          <a:off x="16059150" y="4438650"/>
          <a:ext cx="1047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25</xdr:col>
      <xdr:colOff>104775</xdr:colOff>
      <xdr:row>18</xdr:row>
      <xdr:rowOff>28576</xdr:rowOff>
    </xdr:from>
    <xdr:to>
      <xdr:col>28</xdr:col>
      <xdr:colOff>495300</xdr:colOff>
      <xdr:row>23</xdr:row>
      <xdr:rowOff>9526</xdr:rowOff>
    </xdr:to>
    <xdr:sp macro="" textlink="">
      <xdr:nvSpPr>
        <xdr:cNvPr id="11" name="Rectangle: Rounded Corners 10">
          <a:extLst>
            <a:ext uri="{FF2B5EF4-FFF2-40B4-BE49-F238E27FC236}">
              <a16:creationId xmlns:a16="http://schemas.microsoft.com/office/drawing/2014/main" id="{DF50F0F9-FD49-B32B-584C-895F24AF45DE}"/>
            </a:ext>
          </a:extLst>
        </xdr:cNvPr>
        <xdr:cNvSpPr/>
      </xdr:nvSpPr>
      <xdr:spPr>
        <a:xfrm>
          <a:off x="15344775" y="3457576"/>
          <a:ext cx="2219325" cy="9334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fast delivery</a:t>
          </a:r>
        </a:p>
      </xdr:txBody>
    </xdr:sp>
    <xdr:clientData/>
  </xdr:twoCellAnchor>
  <xdr:twoCellAnchor>
    <xdr:from>
      <xdr:col>25</xdr:col>
      <xdr:colOff>438150</xdr:colOff>
      <xdr:row>20</xdr:row>
      <xdr:rowOff>66676</xdr:rowOff>
    </xdr:from>
    <xdr:to>
      <xdr:col>27</xdr:col>
      <xdr:colOff>333375</xdr:colOff>
      <xdr:row>22</xdr:row>
      <xdr:rowOff>104776</xdr:rowOff>
    </xdr:to>
    <xdr:sp macro="" textlink="AM26">
      <xdr:nvSpPr>
        <xdr:cNvPr id="16" name="TextBox 15">
          <a:extLst>
            <a:ext uri="{FF2B5EF4-FFF2-40B4-BE49-F238E27FC236}">
              <a16:creationId xmlns:a16="http://schemas.microsoft.com/office/drawing/2014/main" id="{A1F7D81C-AA5F-36FC-FD00-ADA29E54F8C6}"/>
            </a:ext>
          </a:extLst>
        </xdr:cNvPr>
        <xdr:cNvSpPr txBox="1"/>
      </xdr:nvSpPr>
      <xdr:spPr>
        <a:xfrm>
          <a:off x="15678150" y="3876676"/>
          <a:ext cx="111442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013051-1132-4528-BBE3-95C9BABED1FF}" type="TxLink">
            <a:rPr lang="en-US" sz="1100" b="0" i="0" u="none" strike="noStrike">
              <a:solidFill>
                <a:srgbClr val="000000"/>
              </a:solidFill>
              <a:latin typeface="Calibri"/>
              <a:ea typeface="Calibri"/>
              <a:cs typeface="Calibri"/>
            </a:rPr>
            <a:pPr/>
            <a:t>32.35%</a:t>
          </a:fld>
          <a:endParaRPr lang="en-IN" sz="1100"/>
        </a:p>
      </xdr:txBody>
    </xdr:sp>
    <xdr:clientData/>
  </xdr:twoCellAnchor>
  <xdr:oneCellAnchor>
    <xdr:from>
      <xdr:col>26</xdr:col>
      <xdr:colOff>209550</xdr:colOff>
      <xdr:row>27</xdr:row>
      <xdr:rowOff>57150</xdr:rowOff>
    </xdr:from>
    <xdr:ext cx="1047750" cy="264560"/>
    <xdr:sp macro="" textlink="">
      <xdr:nvSpPr>
        <xdr:cNvPr id="17" name="TextBox 16">
          <a:extLst>
            <a:ext uri="{FF2B5EF4-FFF2-40B4-BE49-F238E27FC236}">
              <a16:creationId xmlns:a16="http://schemas.microsoft.com/office/drawing/2014/main" id="{B4B8C837-EF26-4289-9335-9B241921E678}"/>
            </a:ext>
          </a:extLst>
        </xdr:cNvPr>
        <xdr:cNvSpPr txBox="1"/>
      </xdr:nvSpPr>
      <xdr:spPr>
        <a:xfrm>
          <a:off x="16059150" y="4438650"/>
          <a:ext cx="1047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xdr:col>
      <xdr:colOff>0</xdr:colOff>
      <xdr:row>11</xdr:row>
      <xdr:rowOff>0</xdr:rowOff>
    </xdr:from>
    <xdr:to>
      <xdr:col>11</xdr:col>
      <xdr:colOff>495300</xdr:colOff>
      <xdr:row>24</xdr:row>
      <xdr:rowOff>0</xdr:rowOff>
    </xdr:to>
    <xdr:graphicFrame macro="">
      <xdr:nvGraphicFramePr>
        <xdr:cNvPr id="3" name="Chart 2">
          <a:extLst>
            <a:ext uri="{FF2B5EF4-FFF2-40B4-BE49-F238E27FC236}">
              <a16:creationId xmlns:a16="http://schemas.microsoft.com/office/drawing/2014/main" id="{93A4DE11-0967-499A-A7AD-6DEB96FEA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13</xdr:row>
      <xdr:rowOff>76201</xdr:rowOff>
    </xdr:from>
    <xdr:to>
      <xdr:col>17</xdr:col>
      <xdr:colOff>247650</xdr:colOff>
      <xdr:row>23</xdr:row>
      <xdr:rowOff>114301</xdr:rowOff>
    </xdr:to>
    <xdr:graphicFrame macro="">
      <xdr:nvGraphicFramePr>
        <xdr:cNvPr id="4" name="Chart 3">
          <a:extLst>
            <a:ext uri="{FF2B5EF4-FFF2-40B4-BE49-F238E27FC236}">
              <a16:creationId xmlns:a16="http://schemas.microsoft.com/office/drawing/2014/main" id="{D918BE40-444D-43DE-8FEB-1EBF2C7F4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9525</xdr:colOff>
      <xdr:row>7</xdr:row>
      <xdr:rowOff>123825</xdr:rowOff>
    </xdr:from>
    <xdr:to>
      <xdr:col>4</xdr:col>
      <xdr:colOff>466725</xdr:colOff>
      <xdr:row>21</xdr:row>
      <xdr:rowOff>114300</xdr:rowOff>
    </xdr:to>
    <mc:AlternateContent xmlns:mc="http://schemas.openxmlformats.org/markup-compatibility/2006">
      <mc:Choice xmlns:a14="http://schemas.microsoft.com/office/drawing/2010/main" Requires="a14">
        <xdr:graphicFrame macro="">
          <xdr:nvGraphicFramePr>
            <xdr:cNvPr id="5" name="Customer ID">
              <a:extLst>
                <a:ext uri="{FF2B5EF4-FFF2-40B4-BE49-F238E27FC236}">
                  <a16:creationId xmlns:a16="http://schemas.microsoft.com/office/drawing/2014/main" id="{5DA0A816-0622-E4B2-E05A-418CEF709771}"/>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1381125" y="139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104775</xdr:colOff>
      <xdr:row>22</xdr:row>
      <xdr:rowOff>76200</xdr:rowOff>
    </xdr:from>
    <xdr:to>
      <xdr:col>4</xdr:col>
      <xdr:colOff>561975</xdr:colOff>
      <xdr:row>36</xdr:row>
      <xdr:rowOff>66675</xdr:rowOff>
    </xdr:to>
    <mc:AlternateContent xmlns:mc="http://schemas.openxmlformats.org/markup-compatibility/2006">
      <mc:Choice xmlns:a14="http://schemas.microsoft.com/office/drawing/2010/main" Requires="a14">
        <xdr:graphicFrame macro="">
          <xdr:nvGraphicFramePr>
            <xdr:cNvPr id="8" name="Product name 1">
              <a:extLst>
                <a:ext uri="{FF2B5EF4-FFF2-40B4-BE49-F238E27FC236}">
                  <a16:creationId xmlns:a16="http://schemas.microsoft.com/office/drawing/2014/main" id="{7D59D461-544D-8232-FD5F-3737D6E67E72}"/>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476375" y="405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079.927085532407" createdVersion="8" refreshedVersion="8" minRefreshableVersion="3" recordCount="100" xr:uid="{F9716046-56EA-4A1C-B3EA-8FF7D0284FA9}">
  <cacheSource type="worksheet">
    <worksheetSource ref="A102:P202" sheet="Orders"/>
  </cacheSource>
  <cacheFields count="16">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ount="54">
        <n v="44"/>
        <n v="96"/>
        <n v="194"/>
        <n v="196"/>
        <n v="59"/>
        <n v="58"/>
        <n v="105"/>
        <n v="37"/>
        <n v="141"/>
        <n v="249"/>
        <n v="247"/>
        <n v="74"/>
        <n v="27"/>
        <n v="21"/>
        <n v="70"/>
        <n v="94"/>
        <n v="813"/>
        <n v="46"/>
        <n v="43"/>
        <n v="64"/>
        <n v="97"/>
        <n v="69"/>
        <n v="42"/>
        <n v="11"/>
        <n v="172"/>
        <n v="212"/>
        <n v="41"/>
        <n v="32"/>
        <n v="66"/>
        <n v="62"/>
        <n v="173"/>
        <n v="63"/>
        <n v="36"/>
        <n v="137"/>
        <n v="73"/>
        <n v="104"/>
        <n v="22"/>
        <n v="218"/>
        <n v="65"/>
        <n v="26"/>
        <n v="195"/>
        <n v="815"/>
        <n v="139"/>
        <n v="31"/>
        <n v="95"/>
        <n v="214"/>
        <n v="174"/>
        <n v="210"/>
        <n v="788"/>
        <n v="217"/>
        <n v="138"/>
        <n v="803"/>
        <n v="248"/>
        <n v="215"/>
      </sharedItems>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079.958964004632" createdVersion="8" refreshedVersion="8" minRefreshableVersion="3" recordCount="100" xr:uid="{633BE66D-735F-4C8A-93AA-617419762F9C}">
  <cacheSource type="worksheet">
    <worksheetSource ref="A102:R202" sheet="Orders"/>
  </cacheSource>
  <cacheFields count="19">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ount="2">
        <s v="yes"/>
        <s v="no"/>
      </sharedItems>
    </cacheField>
    <cacheField name="Product category" numFmtId="0">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 name="Field1" numFmtId="0" formula=" 0"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079.974963310182" createdVersion="8" refreshedVersion="8" minRefreshableVersion="3" recordCount="100" xr:uid="{C9878F1D-A92F-47A7-B364-96D7BC1A733C}">
  <cacheSource type="worksheet">
    <worksheetSource ref="A102:S202" sheet="Orders"/>
  </cacheSource>
  <cacheFields count="19">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086.510442708335" createdVersion="8" refreshedVersion="8" minRefreshableVersion="3" recordCount="100" xr:uid="{7418B57B-991A-4A0C-A606-497B184BB5E9}">
  <cacheSource type="worksheet">
    <worksheetSource ref="A1:S101" sheet="Orders"/>
  </cacheSource>
  <cacheFields count="19">
    <cacheField name="Order ID" numFmtId="0">
      <sharedItems/>
    </cacheField>
    <cacheField name="Customer ID" numFmtId="0">
      <sharedItems count="42">
        <s v="CUST021"/>
        <s v="CUST029"/>
        <s v="CUST044"/>
        <s v="CUST027"/>
        <s v="CUST009"/>
        <s v="CUST042"/>
        <s v="CUST019"/>
        <s v="CUST013"/>
        <s v="CUST046"/>
        <s v="CUST045"/>
        <s v="CUST023"/>
        <s v="CUST033"/>
        <s v="CUST047"/>
        <s v="CUST011"/>
        <s v="CUST041"/>
        <s v="CUST025"/>
        <s v="CUST016"/>
        <s v="CUST028"/>
        <s v="CUST040"/>
        <s v="CUST018"/>
        <s v="CUST007"/>
        <s v="CUST008"/>
        <s v="CUST014"/>
        <s v="CUST037"/>
        <s v="CUST032"/>
        <s v="CUST024"/>
        <s v="CUST006"/>
        <s v="CUST001"/>
        <s v="CUST039"/>
        <s v="CUST026"/>
        <s v="CUST017"/>
        <s v="CUST003"/>
        <s v="CUST035"/>
        <s v="CUST022"/>
        <s v="CUST004"/>
        <s v="CUST048"/>
        <s v="CUST050"/>
        <s v="CUST015"/>
        <s v="CUST043"/>
        <s v="CUST031"/>
        <s v="CUST036"/>
        <s v="CUST034"/>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ount="54">
        <n v="44"/>
        <n v="96"/>
        <n v="194"/>
        <n v="196"/>
        <n v="59"/>
        <n v="58"/>
        <n v="105"/>
        <n v="37"/>
        <n v="141"/>
        <n v="249"/>
        <n v="247"/>
        <n v="74"/>
        <n v="27"/>
        <n v="21"/>
        <n v="70"/>
        <n v="94"/>
        <n v="813"/>
        <n v="46"/>
        <n v="43"/>
        <n v="64"/>
        <n v="97"/>
        <n v="69"/>
        <n v="42"/>
        <n v="11"/>
        <n v="172"/>
        <n v="212"/>
        <n v="41"/>
        <n v="32"/>
        <n v="66"/>
        <n v="62"/>
        <n v="173"/>
        <n v="63"/>
        <n v="36"/>
        <n v="137"/>
        <n v="73"/>
        <n v="104"/>
        <n v="22"/>
        <n v="218"/>
        <n v="65"/>
        <n v="26"/>
        <n v="195"/>
        <n v="815"/>
        <n v="139"/>
        <n v="31"/>
        <n v="95"/>
        <n v="214"/>
        <n v="174"/>
        <n v="210"/>
        <n v="788"/>
        <n v="217"/>
        <n v="138"/>
        <n v="803"/>
        <n v="248"/>
        <n v="215"/>
      </sharedItems>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pivotCacheId="13569653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087.519145833336" createdVersion="8" refreshedVersion="8" minRefreshableVersion="3" recordCount="101" xr:uid="{D4FE5768-A0F9-4452-9FB9-D809A18F45F0}">
  <cacheSource type="worksheet">
    <worksheetSource ref="A1:S1048576" sheet="Orders"/>
  </cacheSource>
  <cacheFields count="21">
    <cacheField name="Order ID" numFmtId="0">
      <sharedItems containsBlank="1"/>
    </cacheField>
    <cacheField name="Customer ID" numFmtId="0">
      <sharedItems containsBlank="1"/>
    </cacheField>
    <cacheField name="Product ID" numFmtId="0">
      <sharedItems containsBlank="1"/>
    </cacheField>
    <cacheField name="Region" numFmtId="0">
      <sharedItems containsBlank="1"/>
    </cacheField>
    <cacheField name="Sale Price/Unit" numFmtId="0">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acheField>
    <cacheField name="Payment Method" numFmtId="0">
      <sharedItems containsBlank="1"/>
    </cacheField>
    <cacheField name="Delivery Status" numFmtId="0">
      <sharedItems containsBlank="1"/>
    </cacheField>
    <cacheField name="Fulfillment Partner" numFmtId="0">
      <sharedItems containsBlank="1"/>
    </cacheField>
    <cacheField name="Order Date" numFmtId="0">
      <sharedItems containsNonDate="0" containsDate="1" containsString="0" containsBlank="1" minDate="2023-01-07T00:00:00" maxDate="2024-01-01T00:00:00" count="82">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m/>
      </sharedItems>
      <fieldGroup par="20"/>
    </cacheField>
    <cacheField name="Delivery Date" numFmtId="0">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Is cancelled" numFmtId="0">
      <sharedItems containsBlank="1"/>
    </cacheField>
    <cacheField name="Product category" numFmtId="0">
      <sharedItems containsBlank="1"/>
    </cacheField>
    <cacheField name="Average delivery time" numFmtId="0">
      <sharedItems containsBlank="1" containsMixedTypes="1" containsNumber="1" containsInteger="1" minValue="1" maxValue="7"/>
    </cacheField>
    <cacheField name="Customer Name" numFmtId="0">
      <sharedItems containsBlank="1"/>
    </cacheField>
    <cacheField name="Delivery performance" numFmtId="0">
      <sharedItems containsBlank="1"/>
    </cacheField>
    <cacheField name="Product name" numFmtId="0">
      <sharedItems containsBlank="1"/>
    </cacheField>
    <cacheField name="Days (Order Date)" numFmtId="0" databaseField="0">
      <fieldGroup base="10">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0">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x v="0"/>
    <n v="1"/>
    <n v="44"/>
    <x v="0"/>
    <x v="0"/>
    <s v="DHL"/>
    <d v="2023-12-31T00:00:00"/>
    <x v="0"/>
    <d v="2024-01-02T00:00:00"/>
    <s v="yes"/>
    <x v="0"/>
    <s v="na"/>
  </r>
  <r>
    <s v="ORD0002"/>
    <s v="CUST029"/>
    <s v="PROD018"/>
    <x v="1"/>
    <x v="1"/>
    <n v="4"/>
    <n v="384"/>
    <x v="1"/>
    <x v="1"/>
    <s v="DHL"/>
    <d v="2023-02-22T00:00:00"/>
    <x v="1"/>
    <m/>
    <s v="no"/>
    <x v="1"/>
    <n v="2"/>
  </r>
  <r>
    <s v="ORD0003"/>
    <s v="CUST021"/>
    <s v="PROD013"/>
    <x v="2"/>
    <x v="2"/>
    <n v="4"/>
    <n v="776"/>
    <x v="1"/>
    <x v="2"/>
    <s v="USPS"/>
    <d v="2023-10-11T00:00:00"/>
    <x v="0"/>
    <m/>
    <s v="no"/>
    <x v="0"/>
    <s v="na"/>
  </r>
  <r>
    <s v="ORD0004"/>
    <s v="CUST044"/>
    <s v="PROD013"/>
    <x v="0"/>
    <x v="3"/>
    <n v="3"/>
    <n v="588"/>
    <x v="2"/>
    <x v="0"/>
    <s v="UPS"/>
    <d v="2023-05-05T00:00:00"/>
    <x v="0"/>
    <d v="2023-05-11T00:00:00"/>
    <s v="yes"/>
    <x v="0"/>
    <s v="na"/>
  </r>
  <r>
    <s v="ORD0005"/>
    <s v="CUST027"/>
    <s v="PROD010"/>
    <x v="0"/>
    <x v="4"/>
    <n v="1"/>
    <n v="59"/>
    <x v="2"/>
    <x v="1"/>
    <s v="Amazon Logistics"/>
    <d v="2023-02-02T00:00:00"/>
    <x v="2"/>
    <m/>
    <s v="no"/>
    <x v="2"/>
    <n v="3"/>
  </r>
  <r>
    <s v="ORD0006"/>
    <s v="CUST009"/>
    <s v="PROD010"/>
    <x v="0"/>
    <x v="5"/>
    <n v="4"/>
    <n v="232"/>
    <x v="3"/>
    <x v="0"/>
    <s v="DHL"/>
    <d v="2023-11-01T00:00:00"/>
    <x v="0"/>
    <d v="2023-11-02T00:00:00"/>
    <s v="yes"/>
    <x v="2"/>
    <s v="na"/>
  </r>
  <r>
    <s v="ORD0007"/>
    <s v="CUST042"/>
    <s v="PROD020"/>
    <x v="3"/>
    <x v="6"/>
    <n v="3"/>
    <n v="315"/>
    <x v="4"/>
    <x v="0"/>
    <s v="DHL"/>
    <d v="2023-08-14T00:00:00"/>
    <x v="0"/>
    <d v="2023-08-18T00:00:00"/>
    <s v="yes"/>
    <x v="3"/>
    <s v="na"/>
  </r>
  <r>
    <s v="ORD0008"/>
    <s v="CUST019"/>
    <s v="PROD021"/>
    <x v="4"/>
    <x v="7"/>
    <n v="5"/>
    <n v="185"/>
    <x v="2"/>
    <x v="0"/>
    <s v="DHL"/>
    <d v="2023-04-01T00:00:00"/>
    <x v="0"/>
    <d v="2023-04-06T00:00:00"/>
    <s v="yes"/>
    <x v="0"/>
    <s v="na"/>
  </r>
  <r>
    <s v="ORD0009"/>
    <s v="CUST013"/>
    <s v="PROD019"/>
    <x v="3"/>
    <x v="0"/>
    <n v="2"/>
    <n v="88"/>
    <x v="1"/>
    <x v="2"/>
    <s v="Amazon Logistics"/>
    <d v="2023-07-21T00:00:00"/>
    <x v="0"/>
    <m/>
    <s v="no"/>
    <x v="2"/>
    <s v="na"/>
  </r>
  <r>
    <s v="ORD0010"/>
    <s v="CUST019"/>
    <s v="PROD003"/>
    <x v="2"/>
    <x v="8"/>
    <n v="4"/>
    <n v="564"/>
    <x v="4"/>
    <x v="2"/>
    <s v="DHL"/>
    <d v="2023-12-29T00:00:00"/>
    <x v="0"/>
    <m/>
    <s v="no"/>
    <x v="0"/>
    <s v="na"/>
  </r>
  <r>
    <s v="ORD0011"/>
    <s v="CUST046"/>
    <s v="PROD014"/>
    <x v="2"/>
    <x v="9"/>
    <n v="1"/>
    <n v="249"/>
    <x v="3"/>
    <x v="0"/>
    <s v="USPS"/>
    <d v="2023-05-04T00:00:00"/>
    <x v="0"/>
    <d v="2023-05-08T00:00:00"/>
    <s v="yes"/>
    <x v="3"/>
    <s v="na"/>
  </r>
  <r>
    <s v="ORD0012"/>
    <s v="CUST045"/>
    <s v="PROD014"/>
    <x v="3"/>
    <x v="10"/>
    <n v="3"/>
    <n v="741"/>
    <x v="3"/>
    <x v="2"/>
    <s v="FedEx"/>
    <d v="2023-07-25T00:00:00"/>
    <x v="0"/>
    <m/>
    <s v="no"/>
    <x v="3"/>
    <s v="na"/>
  </r>
  <r>
    <s v="ORD0013"/>
    <s v="CUST023"/>
    <s v="PROD006"/>
    <x v="3"/>
    <x v="1"/>
    <n v="1"/>
    <n v="96"/>
    <x v="0"/>
    <x v="0"/>
    <s v="Amazon Logistics"/>
    <d v="2023-02-25T00:00:00"/>
    <x v="0"/>
    <d v="2023-02-28T00:00:00"/>
    <s v="yes"/>
    <x v="2"/>
    <s v="na"/>
  </r>
  <r>
    <s v="ORD0014"/>
    <s v="CUST033"/>
    <s v="PROD017"/>
    <x v="4"/>
    <x v="11"/>
    <n v="5"/>
    <n v="370"/>
    <x v="0"/>
    <x v="0"/>
    <s v="Amazon Logistics"/>
    <d v="2023-02-24T00:00:00"/>
    <x v="0"/>
    <d v="2023-02-25T00:00:00"/>
    <s v="yes"/>
    <x v="3"/>
    <s v="na"/>
  </r>
  <r>
    <s v="ORD0015"/>
    <s v="CUST033"/>
    <s v="PROD005"/>
    <x v="2"/>
    <x v="12"/>
    <n v="1"/>
    <n v="27"/>
    <x v="1"/>
    <x v="0"/>
    <s v="Amazon Logistics"/>
    <d v="2023-08-26T00:00:00"/>
    <x v="0"/>
    <d v="2023-09-02T00:00:00"/>
    <s v="yes"/>
    <x v="2"/>
    <s v="na"/>
  </r>
  <r>
    <s v="ORD0016"/>
    <s v="CUST047"/>
    <s v="PROD005"/>
    <x v="2"/>
    <x v="12"/>
    <n v="3"/>
    <n v="81"/>
    <x v="4"/>
    <x v="2"/>
    <s v="Amazon Logistics"/>
    <d v="2023-02-13T00:00:00"/>
    <x v="0"/>
    <m/>
    <s v="no"/>
    <x v="2"/>
    <s v="na"/>
  </r>
  <r>
    <s v="ORD0017"/>
    <s v="CUST045"/>
    <s v="PROD015"/>
    <x v="1"/>
    <x v="13"/>
    <n v="3"/>
    <n v="63"/>
    <x v="1"/>
    <x v="1"/>
    <s v="DHL"/>
    <d v="2023-06-28T00:00:00"/>
    <x v="3"/>
    <m/>
    <s v="no"/>
    <x v="4"/>
    <n v="3"/>
  </r>
  <r>
    <s v="ORD0018"/>
    <s v="CUST011"/>
    <s v="PROD008"/>
    <x v="4"/>
    <x v="14"/>
    <n v="5"/>
    <n v="350"/>
    <x v="2"/>
    <x v="2"/>
    <s v="Amazon Logistics"/>
    <d v="2023-11-28T00:00:00"/>
    <x v="0"/>
    <m/>
    <s v="no"/>
    <x v="4"/>
    <s v="na"/>
  </r>
  <r>
    <s v="ORD0019"/>
    <s v="CUST041"/>
    <s v="PROD006"/>
    <x v="2"/>
    <x v="15"/>
    <n v="4"/>
    <n v="376"/>
    <x v="1"/>
    <x v="2"/>
    <s v="USPS"/>
    <d v="2023-08-25T00:00:00"/>
    <x v="0"/>
    <m/>
    <s v="no"/>
    <x v="2"/>
    <s v="na"/>
  </r>
  <r>
    <s v="ORD0020"/>
    <s v="CUST025"/>
    <s v="PROD001"/>
    <x v="0"/>
    <x v="16"/>
    <n v="2"/>
    <n v="1626"/>
    <x v="1"/>
    <x v="2"/>
    <s v="FedEx"/>
    <d v="2023-04-12T00:00:00"/>
    <x v="0"/>
    <m/>
    <s v="no"/>
    <x v="3"/>
    <s v="na"/>
  </r>
  <r>
    <s v="ORD0021"/>
    <s v="CUST013"/>
    <s v="PROD015"/>
    <x v="3"/>
    <x v="13"/>
    <n v="4"/>
    <n v="84"/>
    <x v="2"/>
    <x v="2"/>
    <s v="Amazon Logistics"/>
    <d v="2023-10-02T00:00:00"/>
    <x v="0"/>
    <m/>
    <s v="no"/>
    <x v="4"/>
    <s v="na"/>
  </r>
  <r>
    <s v="ORD0022"/>
    <s v="CUST023"/>
    <s v="PROD012"/>
    <x v="4"/>
    <x v="17"/>
    <n v="5"/>
    <n v="230"/>
    <x v="2"/>
    <x v="2"/>
    <s v="USPS"/>
    <d v="2023-11-09T00:00:00"/>
    <x v="0"/>
    <m/>
    <s v="no"/>
    <x v="0"/>
    <s v="na"/>
  </r>
  <r>
    <s v="ORD0023"/>
    <s v="CUST016"/>
    <s v="PROD010"/>
    <x v="4"/>
    <x v="5"/>
    <n v="3"/>
    <n v="174"/>
    <x v="3"/>
    <x v="0"/>
    <s v="Amazon Logistics"/>
    <d v="2023-02-13T00:00:00"/>
    <x v="0"/>
    <d v="2023-02-14T00:00:00"/>
    <s v="yes"/>
    <x v="2"/>
    <s v="na"/>
  </r>
  <r>
    <s v="ORD0024"/>
    <s v="CUST028"/>
    <s v="PROD006"/>
    <x v="4"/>
    <x v="1"/>
    <n v="5"/>
    <n v="480"/>
    <x v="3"/>
    <x v="1"/>
    <s v="Amazon Logistics"/>
    <d v="2023-11-02T00:00:00"/>
    <x v="4"/>
    <m/>
    <s v="no"/>
    <x v="2"/>
    <n v="3"/>
  </r>
  <r>
    <s v="ORD0025"/>
    <s v="CUST040"/>
    <s v="PROD002"/>
    <x v="2"/>
    <x v="18"/>
    <n v="1"/>
    <n v="43"/>
    <x v="4"/>
    <x v="1"/>
    <s v="Amazon Logistics"/>
    <d v="2023-05-28T00:00:00"/>
    <x v="5"/>
    <m/>
    <s v="no"/>
    <x v="1"/>
    <n v="2"/>
  </r>
  <r>
    <s v="ORD0026"/>
    <s v="CUST027"/>
    <s v="PROD022"/>
    <x v="2"/>
    <x v="19"/>
    <n v="4"/>
    <n v="256"/>
    <x v="4"/>
    <x v="1"/>
    <s v="USPS"/>
    <d v="2023-10-15T00:00:00"/>
    <x v="6"/>
    <m/>
    <s v="no"/>
    <x v="2"/>
    <n v="6"/>
  </r>
  <r>
    <s v="ORD0027"/>
    <s v="CUST018"/>
    <s v="PROD008"/>
    <x v="2"/>
    <x v="14"/>
    <n v="2"/>
    <n v="140"/>
    <x v="3"/>
    <x v="2"/>
    <s v="Amazon Logistics"/>
    <d v="2023-01-16T00:00:00"/>
    <x v="0"/>
    <m/>
    <s v="no"/>
    <x v="4"/>
    <s v="na"/>
  </r>
  <r>
    <s v="ORD0028"/>
    <s v="CUST018"/>
    <s v="PROD018"/>
    <x v="3"/>
    <x v="20"/>
    <n v="3"/>
    <n v="291"/>
    <x v="1"/>
    <x v="2"/>
    <s v="Amazon Logistics"/>
    <d v="2023-10-09T00:00:00"/>
    <x v="0"/>
    <m/>
    <s v="no"/>
    <x v="1"/>
    <s v="na"/>
  </r>
  <r>
    <s v="ORD0029"/>
    <s v="CUST007"/>
    <s v="PROD021"/>
    <x v="1"/>
    <x v="7"/>
    <n v="3"/>
    <n v="111"/>
    <x v="0"/>
    <x v="0"/>
    <s v="DHL"/>
    <d v="2023-10-07T00:00:00"/>
    <x v="0"/>
    <d v="2023-10-10T00:00:00"/>
    <s v="yes"/>
    <x v="0"/>
    <s v="na"/>
  </r>
  <r>
    <s v="ORD0030"/>
    <s v="CUST008"/>
    <s v="PROD008"/>
    <x v="0"/>
    <x v="21"/>
    <n v="5"/>
    <n v="345"/>
    <x v="3"/>
    <x v="2"/>
    <s v="Amazon Logistics"/>
    <d v="2023-02-14T00:00:00"/>
    <x v="0"/>
    <m/>
    <s v="no"/>
    <x v="4"/>
    <s v="na"/>
  </r>
  <r>
    <s v="ORD0031"/>
    <s v="CUST014"/>
    <s v="PROD002"/>
    <x v="0"/>
    <x v="22"/>
    <n v="5"/>
    <n v="210"/>
    <x v="3"/>
    <x v="2"/>
    <s v="UPS"/>
    <d v="2023-03-26T00:00:00"/>
    <x v="0"/>
    <m/>
    <s v="no"/>
    <x v="1"/>
    <s v="na"/>
  </r>
  <r>
    <s v="ORD0032"/>
    <s v="CUST037"/>
    <s v="PROD009"/>
    <x v="1"/>
    <x v="23"/>
    <n v="5"/>
    <n v="55"/>
    <x v="4"/>
    <x v="0"/>
    <s v="FedEx"/>
    <d v="2023-06-15T00:00:00"/>
    <x v="0"/>
    <d v="2023-06-22T00:00:00"/>
    <s v="yes"/>
    <x v="4"/>
    <s v="na"/>
  </r>
  <r>
    <s v="ORD0033"/>
    <s v="CUST016"/>
    <s v="PROD005"/>
    <x v="2"/>
    <x v="12"/>
    <n v="2"/>
    <n v="54"/>
    <x v="0"/>
    <x v="1"/>
    <s v="USPS"/>
    <d v="2023-05-22T00:00:00"/>
    <x v="7"/>
    <m/>
    <s v="no"/>
    <x v="2"/>
    <n v="1"/>
  </r>
  <r>
    <s v="ORD0034"/>
    <s v="CUST025"/>
    <s v="PROD015"/>
    <x v="2"/>
    <x v="13"/>
    <n v="1"/>
    <n v="21"/>
    <x v="3"/>
    <x v="2"/>
    <s v="DHL"/>
    <d v="2023-11-20T00:00:00"/>
    <x v="0"/>
    <m/>
    <s v="no"/>
    <x v="4"/>
    <s v="na"/>
  </r>
  <r>
    <s v="ORD0035"/>
    <s v="CUST032"/>
    <s v="PROD011"/>
    <x v="2"/>
    <x v="24"/>
    <n v="1"/>
    <n v="172"/>
    <x v="2"/>
    <x v="1"/>
    <s v="USPS"/>
    <d v="2023-12-22T00:00:00"/>
    <x v="8"/>
    <m/>
    <s v="no"/>
    <x v="3"/>
    <n v="4"/>
  </r>
  <r>
    <s v="ORD0036"/>
    <s v="CUST014"/>
    <s v="PROD016"/>
    <x v="0"/>
    <x v="25"/>
    <n v="3"/>
    <n v="636"/>
    <x v="3"/>
    <x v="2"/>
    <s v="UPS"/>
    <d v="2023-07-23T00:00:00"/>
    <x v="0"/>
    <m/>
    <s v="no"/>
    <x v="0"/>
    <s v="na"/>
  </r>
  <r>
    <s v="ORD0037"/>
    <s v="CUST044"/>
    <s v="PROD002"/>
    <x v="1"/>
    <x v="26"/>
    <n v="4"/>
    <n v="164"/>
    <x v="1"/>
    <x v="1"/>
    <s v="Amazon Logistics"/>
    <d v="2023-10-17T00:00:00"/>
    <x v="9"/>
    <m/>
    <s v="no"/>
    <x v="1"/>
    <n v="5"/>
  </r>
  <r>
    <s v="ORD0038"/>
    <s v="CUST028"/>
    <s v="PROD007"/>
    <x v="0"/>
    <x v="27"/>
    <n v="2"/>
    <n v="64"/>
    <x v="4"/>
    <x v="0"/>
    <s v="FedEx"/>
    <d v="2023-08-22T00:00:00"/>
    <x v="0"/>
    <d v="2023-08-24T00:00:00"/>
    <s v="yes"/>
    <x v="1"/>
    <s v="na"/>
  </r>
  <r>
    <s v="ORD0039"/>
    <s v="CUST024"/>
    <s v="PROD022"/>
    <x v="1"/>
    <x v="28"/>
    <n v="2"/>
    <n v="132"/>
    <x v="0"/>
    <x v="2"/>
    <s v="DHL"/>
    <d v="2023-12-02T00:00:00"/>
    <x v="0"/>
    <m/>
    <s v="no"/>
    <x v="2"/>
    <s v="na"/>
  </r>
  <r>
    <s v="ORD0040"/>
    <s v="CUST006"/>
    <s v="PROD004"/>
    <x v="1"/>
    <x v="29"/>
    <n v="4"/>
    <n v="248"/>
    <x v="4"/>
    <x v="2"/>
    <s v="UPS"/>
    <d v="2023-12-25T00:00:00"/>
    <x v="0"/>
    <m/>
    <s v="no"/>
    <x v="1"/>
    <s v="na"/>
  </r>
  <r>
    <s v="ORD0041"/>
    <s v="CUST001"/>
    <s v="PROD011"/>
    <x v="4"/>
    <x v="30"/>
    <n v="4"/>
    <n v="692"/>
    <x v="0"/>
    <x v="1"/>
    <s v="UPS"/>
    <d v="2023-09-23T00:00:00"/>
    <x v="10"/>
    <m/>
    <s v="no"/>
    <x v="3"/>
    <n v="7"/>
  </r>
  <r>
    <s v="ORD0042"/>
    <s v="CUST007"/>
    <s v="PROD004"/>
    <x v="4"/>
    <x v="31"/>
    <n v="3"/>
    <n v="189"/>
    <x v="0"/>
    <x v="1"/>
    <s v="UPS"/>
    <d v="2023-07-16T00:00:00"/>
    <x v="11"/>
    <m/>
    <s v="no"/>
    <x v="1"/>
    <n v="2"/>
  </r>
  <r>
    <s v="ORD0043"/>
    <s v="CUST040"/>
    <s v="PROD021"/>
    <x v="4"/>
    <x v="32"/>
    <n v="3"/>
    <n v="108"/>
    <x v="4"/>
    <x v="0"/>
    <s v="USPS"/>
    <d v="2023-02-05T00:00:00"/>
    <x v="0"/>
    <d v="2023-02-11T00:00:00"/>
    <s v="yes"/>
    <x v="0"/>
    <s v="na"/>
  </r>
  <r>
    <s v="ORD0044"/>
    <s v="CUST006"/>
    <s v="PROD004"/>
    <x v="3"/>
    <x v="29"/>
    <n v="1"/>
    <n v="62"/>
    <x v="0"/>
    <x v="0"/>
    <s v="Amazon Logistics"/>
    <d v="2023-12-18T00:00:00"/>
    <x v="0"/>
    <d v="2023-12-23T00:00:00"/>
    <s v="yes"/>
    <x v="1"/>
    <s v="na"/>
  </r>
  <r>
    <s v="ORD0045"/>
    <s v="CUST042"/>
    <s v="PROD003"/>
    <x v="3"/>
    <x v="33"/>
    <n v="5"/>
    <n v="685"/>
    <x v="3"/>
    <x v="0"/>
    <s v="FedEx"/>
    <d v="2023-06-11T00:00:00"/>
    <x v="0"/>
    <d v="2023-06-14T00:00:00"/>
    <s v="yes"/>
    <x v="0"/>
    <s v="na"/>
  </r>
  <r>
    <s v="ORD0046"/>
    <s v="CUST039"/>
    <s v="PROD017"/>
    <x v="0"/>
    <x v="34"/>
    <n v="4"/>
    <n v="292"/>
    <x v="1"/>
    <x v="1"/>
    <s v="Amazon Logistics"/>
    <d v="2023-12-04T00:00:00"/>
    <x v="12"/>
    <m/>
    <s v="no"/>
    <x v="3"/>
    <n v="4"/>
  </r>
  <r>
    <s v="ORD0047"/>
    <s v="CUST041"/>
    <s v="PROD020"/>
    <x v="0"/>
    <x v="35"/>
    <n v="1"/>
    <n v="104"/>
    <x v="2"/>
    <x v="1"/>
    <s v="Amazon Logistics"/>
    <d v="2023-07-17T00:00:00"/>
    <x v="13"/>
    <m/>
    <s v="no"/>
    <x v="3"/>
    <n v="2"/>
  </r>
  <r>
    <s v="ORD0048"/>
    <s v="CUST044"/>
    <s v="PROD006"/>
    <x v="1"/>
    <x v="20"/>
    <n v="1"/>
    <n v="97"/>
    <x v="3"/>
    <x v="1"/>
    <s v="FedEx"/>
    <d v="2023-10-19T00:00:00"/>
    <x v="14"/>
    <m/>
    <s v="no"/>
    <x v="2"/>
    <n v="5"/>
  </r>
  <r>
    <s v="ORD0049"/>
    <s v="CUST026"/>
    <s v="PROD017"/>
    <x v="2"/>
    <x v="34"/>
    <n v="5"/>
    <n v="365"/>
    <x v="0"/>
    <x v="2"/>
    <s v="Amazon Logistics"/>
    <d v="2023-05-15T00:00:00"/>
    <x v="0"/>
    <m/>
    <s v="no"/>
    <x v="3"/>
    <s v="na"/>
  </r>
  <r>
    <s v="ORD0050"/>
    <s v="CUST040"/>
    <s v="PROD005"/>
    <x v="1"/>
    <x v="12"/>
    <n v="3"/>
    <n v="81"/>
    <x v="3"/>
    <x v="1"/>
    <s v="UPS"/>
    <d v="2023-02-12T00:00:00"/>
    <x v="15"/>
    <m/>
    <s v="no"/>
    <x v="2"/>
    <n v="7"/>
  </r>
  <r>
    <s v="ORD0051"/>
    <s v="CUST041"/>
    <s v="PROD021"/>
    <x v="0"/>
    <x v="7"/>
    <n v="1"/>
    <n v="37"/>
    <x v="0"/>
    <x v="2"/>
    <s v="UPS"/>
    <d v="2023-10-02T00:00:00"/>
    <x v="0"/>
    <m/>
    <s v="no"/>
    <x v="0"/>
    <s v="na"/>
  </r>
  <r>
    <s v="ORD0052"/>
    <s v="CUST008"/>
    <s v="PROD015"/>
    <x v="0"/>
    <x v="36"/>
    <n v="1"/>
    <n v="22"/>
    <x v="4"/>
    <x v="1"/>
    <s v="FedEx"/>
    <d v="2023-01-30T00:00:00"/>
    <x v="16"/>
    <m/>
    <s v="no"/>
    <x v="4"/>
    <n v="2"/>
  </r>
  <r>
    <s v="ORD0053"/>
    <s v="CUST011"/>
    <s v="PROD016"/>
    <x v="3"/>
    <x v="37"/>
    <n v="5"/>
    <n v="1090"/>
    <x v="2"/>
    <x v="1"/>
    <s v="DHL"/>
    <d v="2023-12-29T00:00:00"/>
    <x v="17"/>
    <m/>
    <s v="no"/>
    <x v="0"/>
    <n v="3"/>
  </r>
  <r>
    <s v="ORD0054"/>
    <s v="CUST018"/>
    <s v="PROD004"/>
    <x v="0"/>
    <x v="19"/>
    <n v="1"/>
    <n v="64"/>
    <x v="0"/>
    <x v="0"/>
    <s v="USPS"/>
    <d v="2023-03-06T00:00:00"/>
    <x v="0"/>
    <d v="2023-03-13T00:00:00"/>
    <s v="yes"/>
    <x v="1"/>
    <s v="na"/>
  </r>
  <r>
    <s v="ORD0055"/>
    <s v="CUST037"/>
    <s v="PROD021"/>
    <x v="3"/>
    <x v="32"/>
    <n v="4"/>
    <n v="144"/>
    <x v="2"/>
    <x v="1"/>
    <s v="Amazon Logistics"/>
    <d v="2023-02-02T00:00:00"/>
    <x v="18"/>
    <m/>
    <s v="no"/>
    <x v="0"/>
    <n v="4"/>
  </r>
  <r>
    <s v="ORD0056"/>
    <s v="CUST017"/>
    <s v="PROD004"/>
    <x v="4"/>
    <x v="38"/>
    <n v="1"/>
    <n v="65"/>
    <x v="3"/>
    <x v="1"/>
    <s v="FedEx"/>
    <d v="2023-10-18T00:00:00"/>
    <x v="6"/>
    <m/>
    <s v="no"/>
    <x v="1"/>
    <n v="3"/>
  </r>
  <r>
    <s v="ORD0057"/>
    <s v="CUST025"/>
    <s v="PROD005"/>
    <x v="3"/>
    <x v="39"/>
    <n v="1"/>
    <n v="26"/>
    <x v="0"/>
    <x v="1"/>
    <s v="DHL"/>
    <d v="2023-01-07T00:00:00"/>
    <x v="19"/>
    <m/>
    <s v="no"/>
    <x v="2"/>
    <n v="2"/>
  </r>
  <r>
    <s v="ORD0058"/>
    <s v="CUST021"/>
    <s v="PROD009"/>
    <x v="0"/>
    <x v="23"/>
    <n v="5"/>
    <n v="55"/>
    <x v="1"/>
    <x v="2"/>
    <s v="FedEx"/>
    <d v="2023-05-08T00:00:00"/>
    <x v="0"/>
    <m/>
    <s v="no"/>
    <x v="4"/>
    <s v="na"/>
  </r>
  <r>
    <s v="ORD0059"/>
    <s v="CUST003"/>
    <s v="PROD013"/>
    <x v="0"/>
    <x v="40"/>
    <n v="4"/>
    <n v="780"/>
    <x v="2"/>
    <x v="0"/>
    <s v="FedEx"/>
    <d v="2023-04-02T00:00:00"/>
    <x v="0"/>
    <d v="2023-04-05T00:00:00"/>
    <s v="yes"/>
    <x v="0"/>
    <s v="na"/>
  </r>
  <r>
    <s v="ORD0060"/>
    <s v="CUST019"/>
    <s v="PROD019"/>
    <x v="4"/>
    <x v="0"/>
    <n v="5"/>
    <n v="220"/>
    <x v="0"/>
    <x v="0"/>
    <s v="USPS"/>
    <d v="2023-10-11T00:00:00"/>
    <x v="0"/>
    <d v="2023-10-12T00:00:00"/>
    <s v="yes"/>
    <x v="2"/>
    <s v="na"/>
  </r>
  <r>
    <s v="ORD0061"/>
    <s v="CUST035"/>
    <s v="PROD008"/>
    <x v="1"/>
    <x v="21"/>
    <n v="4"/>
    <n v="276"/>
    <x v="4"/>
    <x v="2"/>
    <s v="DHL"/>
    <d v="2023-09-10T00:00:00"/>
    <x v="0"/>
    <m/>
    <s v="no"/>
    <x v="4"/>
    <s v="na"/>
  </r>
  <r>
    <s v="ORD0062"/>
    <s v="CUST022"/>
    <s v="PROD001"/>
    <x v="0"/>
    <x v="41"/>
    <n v="4"/>
    <n v="3260"/>
    <x v="1"/>
    <x v="1"/>
    <s v="USPS"/>
    <d v="2023-11-22T00:00:00"/>
    <x v="20"/>
    <m/>
    <s v="no"/>
    <x v="3"/>
    <n v="7"/>
  </r>
  <r>
    <s v="ORD0063"/>
    <s v="CUST004"/>
    <s v="PROD005"/>
    <x v="1"/>
    <x v="12"/>
    <n v="1"/>
    <n v="27"/>
    <x v="4"/>
    <x v="2"/>
    <s v="Amazon Logistics"/>
    <d v="2023-05-02T00:00:00"/>
    <x v="0"/>
    <m/>
    <s v="no"/>
    <x v="2"/>
    <s v="na"/>
  </r>
  <r>
    <s v="ORD0064"/>
    <s v="CUST048"/>
    <s v="PROD003"/>
    <x v="4"/>
    <x v="42"/>
    <n v="5"/>
    <n v="695"/>
    <x v="0"/>
    <x v="1"/>
    <s v="USPS"/>
    <d v="2023-12-25T00:00:00"/>
    <x v="21"/>
    <m/>
    <s v="no"/>
    <x v="0"/>
    <n v="4"/>
  </r>
  <r>
    <s v="ORD0065"/>
    <s v="CUST009"/>
    <s v="PROD008"/>
    <x v="2"/>
    <x v="21"/>
    <n v="3"/>
    <n v="207"/>
    <x v="2"/>
    <x v="0"/>
    <s v="Amazon Logistics"/>
    <d v="2023-10-18T00:00:00"/>
    <x v="0"/>
    <d v="2023-10-20T00:00:00"/>
    <s v="yes"/>
    <x v="4"/>
    <s v="na"/>
  </r>
  <r>
    <s v="ORD0066"/>
    <s v="CUST009"/>
    <s v="PROD019"/>
    <x v="4"/>
    <x v="22"/>
    <n v="1"/>
    <n v="42"/>
    <x v="0"/>
    <x v="0"/>
    <s v="DHL"/>
    <d v="2023-05-20T00:00:00"/>
    <x v="0"/>
    <d v="2023-05-21T00:00:00"/>
    <s v="yes"/>
    <x v="2"/>
    <s v="na"/>
  </r>
  <r>
    <s v="ORD0067"/>
    <s v="CUST050"/>
    <s v="PROD007"/>
    <x v="0"/>
    <x v="43"/>
    <n v="4"/>
    <n v="124"/>
    <x v="1"/>
    <x v="1"/>
    <s v="UPS"/>
    <d v="2023-07-28T00:00:00"/>
    <x v="22"/>
    <m/>
    <s v="no"/>
    <x v="1"/>
    <n v="2"/>
  </r>
  <r>
    <s v="ORD0068"/>
    <s v="CUST045"/>
    <s v="PROD020"/>
    <x v="4"/>
    <x v="35"/>
    <n v="3"/>
    <n v="312"/>
    <x v="1"/>
    <x v="2"/>
    <s v="UPS"/>
    <d v="2023-12-18T00:00:00"/>
    <x v="0"/>
    <m/>
    <s v="no"/>
    <x v="3"/>
    <s v="na"/>
  </r>
  <r>
    <s v="ORD0069"/>
    <s v="CUST044"/>
    <s v="PROD010"/>
    <x v="1"/>
    <x v="5"/>
    <n v="2"/>
    <n v="116"/>
    <x v="0"/>
    <x v="0"/>
    <s v="USPS"/>
    <d v="2023-07-02T00:00:00"/>
    <x v="0"/>
    <d v="2023-07-07T00:00:00"/>
    <s v="yes"/>
    <x v="2"/>
    <s v="na"/>
  </r>
  <r>
    <s v="ORD0070"/>
    <s v="CUST009"/>
    <s v="PROD004"/>
    <x v="4"/>
    <x v="29"/>
    <n v="2"/>
    <n v="124"/>
    <x v="4"/>
    <x v="0"/>
    <s v="DHL"/>
    <d v="2023-10-09T00:00:00"/>
    <x v="0"/>
    <d v="2023-10-10T00:00:00"/>
    <s v="yes"/>
    <x v="1"/>
    <s v="na"/>
  </r>
  <r>
    <s v="ORD0071"/>
    <s v="CUST006"/>
    <s v="PROD019"/>
    <x v="1"/>
    <x v="18"/>
    <n v="1"/>
    <n v="43"/>
    <x v="1"/>
    <x v="1"/>
    <s v="Amazon Logistics"/>
    <d v="2023-12-18T00:00:00"/>
    <x v="23"/>
    <m/>
    <s v="no"/>
    <x v="2"/>
    <n v="7"/>
  </r>
  <r>
    <s v="ORD0072"/>
    <s v="CUST022"/>
    <s v="PROD004"/>
    <x v="1"/>
    <x v="29"/>
    <n v="4"/>
    <n v="248"/>
    <x v="4"/>
    <x v="2"/>
    <s v="Amazon Logistics"/>
    <d v="2023-03-07T00:00:00"/>
    <x v="0"/>
    <m/>
    <s v="no"/>
    <x v="1"/>
    <s v="na"/>
  </r>
  <r>
    <s v="ORD0073"/>
    <s v="CUST028"/>
    <s v="PROD006"/>
    <x v="0"/>
    <x v="44"/>
    <n v="2"/>
    <n v="190"/>
    <x v="2"/>
    <x v="0"/>
    <s v="UPS"/>
    <d v="2023-07-22T00:00:00"/>
    <x v="0"/>
    <d v="2023-07-25T00:00:00"/>
    <s v="yes"/>
    <x v="2"/>
    <s v="na"/>
  </r>
  <r>
    <s v="ORD0074"/>
    <s v="CUST016"/>
    <s v="PROD021"/>
    <x v="3"/>
    <x v="32"/>
    <n v="4"/>
    <n v="144"/>
    <x v="0"/>
    <x v="1"/>
    <s v="FedEx"/>
    <d v="2023-01-18T00:00:00"/>
    <x v="24"/>
    <m/>
    <s v="no"/>
    <x v="0"/>
    <n v="6"/>
  </r>
  <r>
    <s v="ORD0075"/>
    <s v="CUST042"/>
    <s v="PROD017"/>
    <x v="1"/>
    <x v="34"/>
    <n v="5"/>
    <n v="365"/>
    <x v="0"/>
    <x v="2"/>
    <s v="DHL"/>
    <d v="2023-05-24T00:00:00"/>
    <x v="0"/>
    <m/>
    <s v="no"/>
    <x v="3"/>
    <s v="na"/>
  </r>
  <r>
    <s v="ORD0076"/>
    <s v="CUST023"/>
    <s v="PROD019"/>
    <x v="0"/>
    <x v="18"/>
    <n v="4"/>
    <n v="172"/>
    <x v="4"/>
    <x v="1"/>
    <s v="DHL"/>
    <d v="2023-09-03T00:00:00"/>
    <x v="25"/>
    <m/>
    <s v="no"/>
    <x v="2"/>
    <n v="6"/>
  </r>
  <r>
    <s v="ORD0077"/>
    <s v="CUST004"/>
    <s v="PROD016"/>
    <x v="4"/>
    <x v="45"/>
    <n v="5"/>
    <n v="1070"/>
    <x v="4"/>
    <x v="1"/>
    <s v="UPS"/>
    <d v="2023-11-02T00:00:00"/>
    <x v="26"/>
    <m/>
    <s v="no"/>
    <x v="0"/>
    <n v="2"/>
  </r>
  <r>
    <s v="ORD0078"/>
    <s v="CUST048"/>
    <s v="PROD002"/>
    <x v="3"/>
    <x v="22"/>
    <n v="2"/>
    <n v="84"/>
    <x v="0"/>
    <x v="0"/>
    <s v="UPS"/>
    <d v="2023-12-03T00:00:00"/>
    <x v="0"/>
    <d v="2023-12-06T00:00:00"/>
    <s v="yes"/>
    <x v="1"/>
    <s v="na"/>
  </r>
  <r>
    <s v="ORD0079"/>
    <s v="CUST048"/>
    <s v="PROD012"/>
    <x v="0"/>
    <x v="17"/>
    <n v="1"/>
    <n v="46"/>
    <x v="3"/>
    <x v="2"/>
    <s v="UPS"/>
    <d v="2023-04-01T00:00:00"/>
    <x v="0"/>
    <m/>
    <s v="no"/>
    <x v="0"/>
    <s v="na"/>
  </r>
  <r>
    <s v="ORD0080"/>
    <s v="CUST032"/>
    <s v="PROD018"/>
    <x v="1"/>
    <x v="44"/>
    <n v="4"/>
    <n v="380"/>
    <x v="1"/>
    <x v="1"/>
    <s v="UPS"/>
    <d v="2023-10-16T00:00:00"/>
    <x v="27"/>
    <m/>
    <s v="no"/>
    <x v="1"/>
    <n v="3"/>
  </r>
  <r>
    <s v="ORD0081"/>
    <s v="CUST001"/>
    <s v="PROD011"/>
    <x v="4"/>
    <x v="46"/>
    <n v="2"/>
    <n v="348"/>
    <x v="2"/>
    <x v="2"/>
    <s v="UPS"/>
    <d v="2023-11-05T00:00:00"/>
    <x v="0"/>
    <m/>
    <s v="no"/>
    <x v="3"/>
    <s v="na"/>
  </r>
  <r>
    <s v="ORD0082"/>
    <s v="CUST046"/>
    <s v="PROD005"/>
    <x v="0"/>
    <x v="12"/>
    <n v="5"/>
    <n v="135"/>
    <x v="1"/>
    <x v="0"/>
    <s v="Amazon Logistics"/>
    <d v="2023-06-15T00:00:00"/>
    <x v="0"/>
    <d v="2023-06-18T00:00:00"/>
    <s v="yes"/>
    <x v="2"/>
    <s v="na"/>
  </r>
  <r>
    <s v="ORD0083"/>
    <s v="CUST021"/>
    <s v="PROD005"/>
    <x v="2"/>
    <x v="12"/>
    <n v="4"/>
    <n v="108"/>
    <x v="2"/>
    <x v="1"/>
    <s v="USPS"/>
    <d v="2023-10-28T00:00:00"/>
    <x v="28"/>
    <m/>
    <s v="no"/>
    <x v="2"/>
    <n v="2"/>
  </r>
  <r>
    <s v="ORD0084"/>
    <s v="CUST015"/>
    <s v="PROD022"/>
    <x v="2"/>
    <x v="38"/>
    <n v="2"/>
    <n v="130"/>
    <x v="2"/>
    <x v="2"/>
    <s v="DHL"/>
    <d v="2023-12-22T00:00:00"/>
    <x v="0"/>
    <m/>
    <s v="no"/>
    <x v="2"/>
    <s v="na"/>
  </r>
  <r>
    <s v="ORD0085"/>
    <s v="CUST045"/>
    <s v="PROD019"/>
    <x v="1"/>
    <x v="18"/>
    <n v="5"/>
    <n v="215"/>
    <x v="4"/>
    <x v="2"/>
    <s v="DHL"/>
    <d v="2023-03-07T00:00:00"/>
    <x v="0"/>
    <m/>
    <s v="no"/>
    <x v="2"/>
    <s v="na"/>
  </r>
  <r>
    <s v="ORD0086"/>
    <s v="CUST007"/>
    <s v="PROD016"/>
    <x v="4"/>
    <x v="47"/>
    <n v="1"/>
    <n v="210"/>
    <x v="2"/>
    <x v="2"/>
    <s v="UPS"/>
    <d v="2023-11-10T00:00:00"/>
    <x v="0"/>
    <m/>
    <s v="no"/>
    <x v="0"/>
    <s v="na"/>
  </r>
  <r>
    <s v="ORD0087"/>
    <s v="CUST043"/>
    <s v="PROD021"/>
    <x v="2"/>
    <x v="7"/>
    <n v="3"/>
    <n v="111"/>
    <x v="1"/>
    <x v="2"/>
    <s v="UPS"/>
    <d v="2023-11-22T00:00:00"/>
    <x v="0"/>
    <m/>
    <s v="no"/>
    <x v="0"/>
    <s v="na"/>
  </r>
  <r>
    <s v="ORD0088"/>
    <s v="CUST007"/>
    <s v="PROD001"/>
    <x v="2"/>
    <x v="48"/>
    <n v="4"/>
    <n v="3152"/>
    <x v="4"/>
    <x v="2"/>
    <s v="Amazon Logistics"/>
    <d v="2023-05-08T00:00:00"/>
    <x v="0"/>
    <m/>
    <s v="no"/>
    <x v="3"/>
    <s v="na"/>
  </r>
  <r>
    <s v="ORD0089"/>
    <s v="CUST007"/>
    <s v="PROD016"/>
    <x v="4"/>
    <x v="49"/>
    <n v="5"/>
    <n v="1085"/>
    <x v="4"/>
    <x v="2"/>
    <s v="FedEx"/>
    <d v="2023-07-13T00:00:00"/>
    <x v="0"/>
    <m/>
    <s v="no"/>
    <x v="0"/>
    <s v="na"/>
  </r>
  <r>
    <s v="ORD0090"/>
    <s v="CUST007"/>
    <s v="PROD003"/>
    <x v="4"/>
    <x v="50"/>
    <n v="4"/>
    <n v="552"/>
    <x v="1"/>
    <x v="2"/>
    <s v="FedEx"/>
    <d v="2023-01-18T00:00:00"/>
    <x v="0"/>
    <m/>
    <s v="no"/>
    <x v="0"/>
    <s v="na"/>
  </r>
  <r>
    <s v="ORD0091"/>
    <s v="CUST031"/>
    <s v="PROD001"/>
    <x v="3"/>
    <x v="51"/>
    <n v="2"/>
    <n v="1606"/>
    <x v="0"/>
    <x v="1"/>
    <s v="FedEx"/>
    <d v="2023-06-23T00:00:00"/>
    <x v="29"/>
    <m/>
    <s v="no"/>
    <x v="3"/>
    <n v="6"/>
  </r>
  <r>
    <s v="ORD0092"/>
    <s v="CUST013"/>
    <s v="PROD014"/>
    <x v="0"/>
    <x v="52"/>
    <n v="5"/>
    <n v="1240"/>
    <x v="2"/>
    <x v="0"/>
    <s v="UPS"/>
    <d v="2023-02-21T00:00:00"/>
    <x v="0"/>
    <d v="2023-02-25T00:00:00"/>
    <s v="yes"/>
    <x v="3"/>
    <s v="na"/>
  </r>
  <r>
    <s v="ORD0093"/>
    <s v="CUST036"/>
    <s v="PROD016"/>
    <x v="1"/>
    <x v="47"/>
    <n v="3"/>
    <n v="630"/>
    <x v="0"/>
    <x v="1"/>
    <s v="DHL"/>
    <d v="2023-02-19T00:00:00"/>
    <x v="30"/>
    <m/>
    <s v="no"/>
    <x v="0"/>
    <n v="2"/>
  </r>
  <r>
    <s v="ORD0094"/>
    <s v="CUST013"/>
    <s v="PROD004"/>
    <x v="0"/>
    <x v="29"/>
    <n v="2"/>
    <n v="124"/>
    <x v="1"/>
    <x v="0"/>
    <s v="FedEx"/>
    <d v="2023-12-05T00:00:00"/>
    <x v="0"/>
    <d v="2023-12-12T00:00:00"/>
    <s v="yes"/>
    <x v="1"/>
    <s v="na"/>
  </r>
  <r>
    <s v="ORD0095"/>
    <s v="CUST043"/>
    <s v="PROD009"/>
    <x v="2"/>
    <x v="23"/>
    <n v="5"/>
    <n v="55"/>
    <x v="4"/>
    <x v="0"/>
    <s v="Amazon Logistics"/>
    <d v="2023-06-07T00:00:00"/>
    <x v="0"/>
    <d v="2023-06-12T00:00:00"/>
    <s v="yes"/>
    <x v="4"/>
    <s v="na"/>
  </r>
  <r>
    <s v="ORD0096"/>
    <s v="CUST017"/>
    <s v="PROD015"/>
    <x v="0"/>
    <x v="13"/>
    <n v="2"/>
    <n v="42"/>
    <x v="3"/>
    <x v="1"/>
    <s v="UPS"/>
    <d v="2023-07-09T00:00:00"/>
    <x v="31"/>
    <m/>
    <s v="no"/>
    <x v="4"/>
    <n v="3"/>
  </r>
  <r>
    <s v="ORD0097"/>
    <s v="CUST023"/>
    <s v="PROD018"/>
    <x v="4"/>
    <x v="44"/>
    <n v="5"/>
    <n v="475"/>
    <x v="3"/>
    <x v="1"/>
    <s v="Amazon Logistics"/>
    <d v="2023-12-23T00:00:00"/>
    <x v="8"/>
    <m/>
    <s v="no"/>
    <x v="1"/>
    <n v="3"/>
  </r>
  <r>
    <s v="ORD0098"/>
    <s v="CUST044"/>
    <s v="PROD016"/>
    <x v="2"/>
    <x v="53"/>
    <n v="2"/>
    <n v="430"/>
    <x v="2"/>
    <x v="1"/>
    <s v="Amazon Logistics"/>
    <d v="2023-09-25T00:00:00"/>
    <x v="10"/>
    <m/>
    <s v="no"/>
    <x v="0"/>
    <n v="5"/>
  </r>
  <r>
    <s v="ORD0099"/>
    <s v="CUST034"/>
    <s v="PROD019"/>
    <x v="4"/>
    <x v="18"/>
    <n v="5"/>
    <n v="215"/>
    <x v="1"/>
    <x v="0"/>
    <s v="UPS"/>
    <d v="2023-01-18T00:00:00"/>
    <x v="0"/>
    <d v="2023-01-24T00:00:00"/>
    <s v="yes"/>
    <x v="2"/>
    <s v="na"/>
  </r>
  <r>
    <s v="ORD0100"/>
    <s v="CUST009"/>
    <s v="PROD002"/>
    <x v="4"/>
    <x v="22"/>
    <n v="4"/>
    <n v="168"/>
    <x v="4"/>
    <x v="2"/>
    <s v="DHL"/>
    <d v="2023-03-27T00:00:00"/>
    <x v="0"/>
    <m/>
    <s v="no"/>
    <x v="1"/>
    <s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x v="0"/>
    <s v="Home"/>
    <s v="na"/>
    <s v="Zoe Mitchell"/>
    <x v="0"/>
  </r>
  <r>
    <s v="ORD0002"/>
    <s v="CUST029"/>
    <s v="PROD018"/>
    <x v="1"/>
    <n v="96"/>
    <n v="4"/>
    <n v="384"/>
    <s v="Credit Card"/>
    <x v="1"/>
    <s v="DHL"/>
    <d v="2023-02-22T00:00:00"/>
    <d v="2023-02-24T00:00:00"/>
    <m/>
    <x v="1"/>
    <s v="Toys"/>
    <n v="2"/>
    <s v="Ava White"/>
    <x v="1"/>
  </r>
  <r>
    <s v="ORD0003"/>
    <s v="CUST021"/>
    <s v="PROD013"/>
    <x v="2"/>
    <n v="194"/>
    <n v="4"/>
    <n v="776"/>
    <s v="Credit Card"/>
    <x v="2"/>
    <s v="USPS"/>
    <d v="2023-10-11T00:00:00"/>
    <m/>
    <m/>
    <x v="1"/>
    <s v="Home"/>
    <s v="na"/>
    <s v="Zoe Mitchell"/>
    <x v="0"/>
  </r>
  <r>
    <s v="ORD0004"/>
    <s v="CUST044"/>
    <s v="PROD013"/>
    <x v="0"/>
    <n v="196"/>
    <n v="3"/>
    <n v="588"/>
    <s v="PayPal"/>
    <x v="0"/>
    <s v="UPS"/>
    <d v="2023-05-05T00:00:00"/>
    <m/>
    <d v="2023-05-11T00:00:00"/>
    <x v="0"/>
    <s v="Home"/>
    <s v="na"/>
    <s v="Grace Ward"/>
    <x v="0"/>
  </r>
  <r>
    <s v="ORD0005"/>
    <s v="CUST027"/>
    <s v="PROD010"/>
    <x v="0"/>
    <n v="59"/>
    <n v="1"/>
    <n v="59"/>
    <s v="PayPal"/>
    <x v="1"/>
    <s v="Amazon Logistics"/>
    <d v="2023-02-02T00:00:00"/>
    <d v="2023-02-05T00:00:00"/>
    <m/>
    <x v="1"/>
    <s v="Fashion"/>
    <n v="3"/>
    <s v="Hazel Brooks"/>
    <x v="2"/>
  </r>
  <r>
    <s v="ORD0006"/>
    <s v="CUST009"/>
    <s v="PROD010"/>
    <x v="0"/>
    <n v="58"/>
    <n v="4"/>
    <n v="232"/>
    <s v="Amazon Pay"/>
    <x v="0"/>
    <s v="DHL"/>
    <d v="2023-11-01T00:00:00"/>
    <m/>
    <d v="2023-11-02T00:00:00"/>
    <x v="0"/>
    <s v="Fashion"/>
    <s v="na"/>
    <s v="Jackson Allen"/>
    <x v="0"/>
  </r>
  <r>
    <s v="ORD0007"/>
    <s v="CUST042"/>
    <s v="PROD020"/>
    <x v="3"/>
    <n v="105"/>
    <n v="3"/>
    <n v="315"/>
    <s v="Debit Card"/>
    <x v="0"/>
    <s v="DHL"/>
    <d v="2023-08-14T00:00:00"/>
    <m/>
    <d v="2023-08-18T00:00:00"/>
    <x v="0"/>
    <s v="Electronics"/>
    <s v="na"/>
    <s v="Noah Wilson"/>
    <x v="0"/>
  </r>
  <r>
    <s v="ORD0008"/>
    <s v="CUST019"/>
    <s v="PROD021"/>
    <x v="4"/>
    <n v="37"/>
    <n v="5"/>
    <n v="185"/>
    <s v="PayPal"/>
    <x v="0"/>
    <s v="DHL"/>
    <d v="2023-04-01T00:00:00"/>
    <m/>
    <d v="2023-04-06T00:00:00"/>
    <x v="0"/>
    <s v="Home"/>
    <s v="na"/>
    <s v="Ava Robinson"/>
    <x v="0"/>
  </r>
  <r>
    <s v="ORD0009"/>
    <s v="CUST013"/>
    <s v="PROD019"/>
    <x v="3"/>
    <n v="44"/>
    <n v="2"/>
    <n v="88"/>
    <s v="Credit Card"/>
    <x v="2"/>
    <s v="Amazon Logistics"/>
    <d v="2023-07-21T00:00:00"/>
    <m/>
    <m/>
    <x v="1"/>
    <s v="Fashion"/>
    <s v="na"/>
    <s v="Olivia Martinez"/>
    <x v="0"/>
  </r>
  <r>
    <s v="ORD0010"/>
    <s v="CUST019"/>
    <s v="PROD003"/>
    <x v="2"/>
    <n v="141"/>
    <n v="4"/>
    <n v="564"/>
    <s v="Debit Card"/>
    <x v="2"/>
    <s v="DHL"/>
    <d v="2023-12-29T00:00:00"/>
    <m/>
    <m/>
    <x v="1"/>
    <s v="Home"/>
    <s v="na"/>
    <s v="Ava Robinson"/>
    <x v="0"/>
  </r>
  <r>
    <s v="ORD0011"/>
    <s v="CUST046"/>
    <s v="PROD014"/>
    <x v="2"/>
    <n v="249"/>
    <n v="1"/>
    <n v="249"/>
    <s v="Amazon Pay"/>
    <x v="0"/>
    <s v="USPS"/>
    <d v="2023-05-04T00:00:00"/>
    <m/>
    <d v="2023-05-08T00:00:00"/>
    <x v="0"/>
    <s v="Electronics"/>
    <s v="na"/>
    <s v="Emily Johnson"/>
    <x v="0"/>
  </r>
  <r>
    <s v="ORD0012"/>
    <s v="CUST045"/>
    <s v="PROD014"/>
    <x v="3"/>
    <n v="247"/>
    <n v="3"/>
    <n v="741"/>
    <s v="Amazon Pay"/>
    <x v="2"/>
    <s v="FedEx"/>
    <d v="2023-07-25T00:00:00"/>
    <m/>
    <m/>
    <x v="1"/>
    <s v="Electronics"/>
    <s v="na"/>
    <s v="Emily Johnson"/>
    <x v="0"/>
  </r>
  <r>
    <s v="ORD0013"/>
    <s v="CUST023"/>
    <s v="PROD006"/>
    <x v="3"/>
    <n v="96"/>
    <n v="1"/>
    <n v="96"/>
    <s v="Apple Pay"/>
    <x v="0"/>
    <s v="Amazon Logistics"/>
    <d v="2023-02-25T00:00:00"/>
    <m/>
    <d v="2023-02-28T00:00:00"/>
    <x v="0"/>
    <s v="Fashion"/>
    <s v="na"/>
    <s v="Charlotte Reed"/>
    <x v="0"/>
  </r>
  <r>
    <s v="ORD0014"/>
    <s v="CUST033"/>
    <s v="PROD017"/>
    <x v="4"/>
    <n v="74"/>
    <n v="5"/>
    <n v="370"/>
    <s v="Apple Pay"/>
    <x v="0"/>
    <s v="Amazon Logistics"/>
    <d v="2023-02-24T00:00:00"/>
    <m/>
    <d v="2023-02-25T00:00:00"/>
    <x v="0"/>
    <s v="Electronics"/>
    <s v="na"/>
    <s v="Hazel Rivera"/>
    <x v="0"/>
  </r>
  <r>
    <s v="ORD0015"/>
    <s v="CUST033"/>
    <s v="PROD005"/>
    <x v="2"/>
    <n v="27"/>
    <n v="1"/>
    <n v="27"/>
    <s v="Credit Card"/>
    <x v="0"/>
    <s v="Amazon Logistics"/>
    <d v="2023-08-26T00:00:00"/>
    <m/>
    <d v="2023-09-02T00:00:00"/>
    <x v="0"/>
    <s v="Fashion"/>
    <s v="na"/>
    <s v="Hazel Rivera"/>
    <x v="0"/>
  </r>
  <r>
    <s v="ORD0016"/>
    <s v="CUST047"/>
    <s v="PROD005"/>
    <x v="2"/>
    <n v="27"/>
    <n v="3"/>
    <n v="81"/>
    <s v="Debit Card"/>
    <x v="2"/>
    <s v="Amazon Logistics"/>
    <d v="2023-02-13T00:00:00"/>
    <m/>
    <m/>
    <x v="1"/>
    <s v="Fashion"/>
    <s v="na"/>
    <s v="Scarlett Murphy"/>
    <x v="0"/>
  </r>
  <r>
    <s v="ORD0017"/>
    <s v="CUST045"/>
    <s v="PROD015"/>
    <x v="1"/>
    <n v="21"/>
    <n v="3"/>
    <n v="63"/>
    <s v="Credit Card"/>
    <x v="1"/>
    <s v="DHL"/>
    <d v="2023-06-28T00:00:00"/>
    <d v="2023-07-01T00:00:00"/>
    <m/>
    <x v="1"/>
    <s v="Books"/>
    <n v="3"/>
    <s v="Emily Johnson"/>
    <x v="2"/>
  </r>
  <r>
    <s v="ORD0018"/>
    <s v="CUST011"/>
    <s v="PROD008"/>
    <x v="4"/>
    <n v="70"/>
    <n v="5"/>
    <n v="350"/>
    <s v="PayPal"/>
    <x v="2"/>
    <s v="Amazon Logistics"/>
    <d v="2023-11-28T00:00:00"/>
    <m/>
    <m/>
    <x v="1"/>
    <s v="Books"/>
    <s v="na"/>
    <s v="Mason Hall"/>
    <x v="0"/>
  </r>
  <r>
    <s v="ORD0019"/>
    <s v="CUST041"/>
    <s v="PROD006"/>
    <x v="2"/>
    <n v="94"/>
    <n v="4"/>
    <n v="376"/>
    <s v="Credit Card"/>
    <x v="2"/>
    <s v="USPS"/>
    <d v="2023-08-25T00:00:00"/>
    <m/>
    <m/>
    <x v="1"/>
    <s v="Fashion"/>
    <s v="na"/>
    <s v="Jacob Price"/>
    <x v="0"/>
  </r>
  <r>
    <s v="ORD0020"/>
    <s v="CUST025"/>
    <s v="PROD001"/>
    <x v="0"/>
    <n v="813"/>
    <n v="2"/>
    <n v="1626"/>
    <s v="Credit Card"/>
    <x v="2"/>
    <s v="FedEx"/>
    <d v="2023-04-12T00:00:00"/>
    <m/>
    <m/>
    <x v="1"/>
    <s v="Electronics"/>
    <s v="na"/>
    <s v="Emma King"/>
    <x v="0"/>
  </r>
  <r>
    <s v="ORD0021"/>
    <s v="CUST013"/>
    <s v="PROD015"/>
    <x v="3"/>
    <n v="21"/>
    <n v="4"/>
    <n v="84"/>
    <s v="PayPal"/>
    <x v="2"/>
    <s v="Amazon Logistics"/>
    <d v="2023-10-02T00:00:00"/>
    <m/>
    <m/>
    <x v="1"/>
    <s v="Books"/>
    <s v="na"/>
    <s v="Olivia Martinez"/>
    <x v="0"/>
  </r>
  <r>
    <s v="ORD0022"/>
    <s v="CUST023"/>
    <s v="PROD012"/>
    <x v="4"/>
    <n v="46"/>
    <n v="5"/>
    <n v="230"/>
    <s v="PayPal"/>
    <x v="2"/>
    <s v="USPS"/>
    <d v="2023-11-09T00:00:00"/>
    <m/>
    <m/>
    <x v="1"/>
    <s v="Home"/>
    <s v="na"/>
    <s v="Charlotte Reed"/>
    <x v="0"/>
  </r>
  <r>
    <s v="ORD0023"/>
    <s v="CUST016"/>
    <s v="PROD010"/>
    <x v="4"/>
    <n v="58"/>
    <n v="3"/>
    <n v="174"/>
    <s v="Amazon Pay"/>
    <x v="0"/>
    <s v="Amazon Logistics"/>
    <d v="2023-02-13T00:00:00"/>
    <m/>
    <d v="2023-02-14T00:00:00"/>
    <x v="0"/>
    <s v="Fashion"/>
    <s v="na"/>
    <s v="Elijah Lewis"/>
    <x v="0"/>
  </r>
  <r>
    <s v="ORD0024"/>
    <s v="CUST028"/>
    <s v="PROD006"/>
    <x v="4"/>
    <n v="96"/>
    <n v="5"/>
    <n v="480"/>
    <s v="Amazon Pay"/>
    <x v="1"/>
    <s v="Amazon Logistics"/>
    <d v="2023-11-02T00:00:00"/>
    <d v="2023-11-05T00:00:00"/>
    <m/>
    <x v="1"/>
    <s v="Fashion"/>
    <n v="3"/>
    <s v="Lily Bennett"/>
    <x v="2"/>
  </r>
  <r>
    <s v="ORD0025"/>
    <s v="CUST040"/>
    <s v="PROD002"/>
    <x v="2"/>
    <n v="43"/>
    <n v="1"/>
    <n v="43"/>
    <s v="Debit Card"/>
    <x v="1"/>
    <s v="Amazon Logistics"/>
    <d v="2023-05-28T00:00:00"/>
    <d v="2023-05-30T00:00:00"/>
    <m/>
    <x v="1"/>
    <s v="Toys"/>
    <n v="2"/>
    <s v="Benjamin Clark"/>
    <x v="1"/>
  </r>
  <r>
    <s v="ORD0026"/>
    <s v="CUST027"/>
    <s v="PROD022"/>
    <x v="2"/>
    <n v="64"/>
    <n v="4"/>
    <n v="256"/>
    <s v="Debit Card"/>
    <x v="1"/>
    <s v="USPS"/>
    <d v="2023-10-15T00:00:00"/>
    <d v="2023-10-21T00:00:00"/>
    <m/>
    <x v="1"/>
    <s v="Fashion"/>
    <n v="6"/>
    <s v="Hazel Brooks"/>
    <x v="2"/>
  </r>
  <r>
    <s v="ORD0027"/>
    <s v="CUST018"/>
    <s v="PROD008"/>
    <x v="2"/>
    <n v="70"/>
    <n v="2"/>
    <n v="140"/>
    <s v="Amazon Pay"/>
    <x v="2"/>
    <s v="Amazon Logistics"/>
    <d v="2023-01-16T00:00:00"/>
    <m/>
    <m/>
    <x v="1"/>
    <s v="Books"/>
    <s v="na"/>
    <s v="Grace Scott"/>
    <x v="0"/>
  </r>
  <r>
    <s v="ORD0028"/>
    <s v="CUST018"/>
    <s v="PROD018"/>
    <x v="3"/>
    <n v="97"/>
    <n v="3"/>
    <n v="291"/>
    <s v="Credit Card"/>
    <x v="2"/>
    <s v="Amazon Logistics"/>
    <d v="2023-10-09T00:00:00"/>
    <m/>
    <m/>
    <x v="1"/>
    <s v="Toys"/>
    <s v="na"/>
    <s v="Grace Scott"/>
    <x v="0"/>
  </r>
  <r>
    <s v="ORD0029"/>
    <s v="CUST007"/>
    <s v="PROD021"/>
    <x v="1"/>
    <n v="37"/>
    <n v="3"/>
    <n v="111"/>
    <s v="Apple Pay"/>
    <x v="0"/>
    <s v="DHL"/>
    <d v="2023-10-07T00:00:00"/>
    <m/>
    <d v="2023-10-10T00:00:00"/>
    <x v="0"/>
    <s v="Home"/>
    <s v="na"/>
    <s v="Liam Walker"/>
    <x v="0"/>
  </r>
  <r>
    <s v="ORD0030"/>
    <s v="CUST008"/>
    <s v="PROD008"/>
    <x v="0"/>
    <n v="69"/>
    <n v="5"/>
    <n v="345"/>
    <s v="Amazon Pay"/>
    <x v="2"/>
    <s v="Amazon Logistics"/>
    <d v="2023-02-14T00:00:00"/>
    <m/>
    <m/>
    <x v="1"/>
    <s v="Books"/>
    <s v="na"/>
    <s v="Harper Young"/>
    <x v="0"/>
  </r>
  <r>
    <s v="ORD0031"/>
    <s v="CUST014"/>
    <s v="PROD002"/>
    <x v="0"/>
    <n v="42"/>
    <n v="5"/>
    <n v="210"/>
    <s v="Amazon Pay"/>
    <x v="2"/>
    <s v="UPS"/>
    <d v="2023-03-26T00:00:00"/>
    <m/>
    <m/>
    <x v="1"/>
    <s v="Toys"/>
    <s v="na"/>
    <s v="Harper Young"/>
    <x v="0"/>
  </r>
  <r>
    <s v="ORD0032"/>
    <s v="CUST037"/>
    <s v="PROD009"/>
    <x v="1"/>
    <n v="11"/>
    <n v="5"/>
    <n v="55"/>
    <s v="Debit Card"/>
    <x v="0"/>
    <s v="FedEx"/>
    <d v="2023-06-15T00:00:00"/>
    <m/>
    <d v="2023-06-22T00:00:00"/>
    <x v="0"/>
    <s v="Books"/>
    <s v="na"/>
    <s v="Emily Johnson"/>
    <x v="0"/>
  </r>
  <r>
    <s v="ORD0033"/>
    <s v="CUST016"/>
    <s v="PROD005"/>
    <x v="2"/>
    <n v="27"/>
    <n v="2"/>
    <n v="54"/>
    <s v="Apple Pay"/>
    <x v="1"/>
    <s v="USPS"/>
    <d v="2023-05-22T00:00:00"/>
    <d v="2023-05-23T00:00:00"/>
    <m/>
    <x v="1"/>
    <s v="Fashion"/>
    <n v="1"/>
    <s v="Elijah Lewis"/>
    <x v="1"/>
  </r>
  <r>
    <s v="ORD0034"/>
    <s v="CUST025"/>
    <s v="PROD015"/>
    <x v="2"/>
    <n v="21"/>
    <n v="1"/>
    <n v="21"/>
    <s v="Amazon Pay"/>
    <x v="2"/>
    <s v="DHL"/>
    <d v="2023-11-20T00:00:00"/>
    <m/>
    <m/>
    <x v="1"/>
    <s v="Books"/>
    <s v="na"/>
    <s v="Emma King"/>
    <x v="0"/>
  </r>
  <r>
    <s v="ORD0035"/>
    <s v="CUST032"/>
    <s v="PROD011"/>
    <x v="2"/>
    <n v="172"/>
    <n v="1"/>
    <n v="172"/>
    <s v="PayPal"/>
    <x v="1"/>
    <s v="USPS"/>
    <d v="2023-12-22T00:00:00"/>
    <d v="2023-12-26T00:00:00"/>
    <m/>
    <x v="1"/>
    <s v="Electronics"/>
    <n v="4"/>
    <s v="Luke Gray"/>
    <x v="2"/>
  </r>
  <r>
    <s v="ORD0036"/>
    <s v="CUST014"/>
    <s v="PROD016"/>
    <x v="0"/>
    <n v="212"/>
    <n v="3"/>
    <n v="636"/>
    <s v="Amazon Pay"/>
    <x v="2"/>
    <s v="UPS"/>
    <d v="2023-07-23T00:00:00"/>
    <m/>
    <m/>
    <x v="1"/>
    <s v="Home"/>
    <s v="na"/>
    <s v="Harper Young"/>
    <x v="0"/>
  </r>
  <r>
    <s v="ORD0037"/>
    <s v="CUST044"/>
    <s v="PROD002"/>
    <x v="1"/>
    <n v="41"/>
    <n v="4"/>
    <n v="164"/>
    <s v="Credit Card"/>
    <x v="1"/>
    <s v="Amazon Logistics"/>
    <d v="2023-10-17T00:00:00"/>
    <d v="2023-10-22T00:00:00"/>
    <m/>
    <x v="1"/>
    <s v="Toys"/>
    <n v="5"/>
    <s v="Grace Ward"/>
    <x v="2"/>
  </r>
  <r>
    <s v="ORD0038"/>
    <s v="CUST028"/>
    <s v="PROD007"/>
    <x v="0"/>
    <n v="32"/>
    <n v="2"/>
    <n v="64"/>
    <s v="Debit Card"/>
    <x v="0"/>
    <s v="FedEx"/>
    <d v="2023-08-22T00:00:00"/>
    <m/>
    <d v="2023-08-24T00:00:00"/>
    <x v="0"/>
    <s v="Toys"/>
    <s v="na"/>
    <s v="Lily Bennett"/>
    <x v="0"/>
  </r>
  <r>
    <s v="ORD0039"/>
    <s v="CUST024"/>
    <s v="PROD022"/>
    <x v="1"/>
    <n v="66"/>
    <n v="2"/>
    <n v="132"/>
    <s v="Apple Pay"/>
    <x v="2"/>
    <s v="DHL"/>
    <d v="2023-12-02T00:00:00"/>
    <m/>
    <m/>
    <x v="1"/>
    <s v="Fashion"/>
    <s v="na"/>
    <s v="Scarlett Murphy"/>
    <x v="0"/>
  </r>
  <r>
    <s v="ORD0040"/>
    <s v="CUST006"/>
    <s v="PROD004"/>
    <x v="1"/>
    <n v="62"/>
    <n v="4"/>
    <n v="248"/>
    <s v="Debit Card"/>
    <x v="2"/>
    <s v="UPS"/>
    <d v="2023-12-25T00:00:00"/>
    <m/>
    <m/>
    <x v="1"/>
    <s v="Toys"/>
    <s v="na"/>
    <s v="Ava Robinson"/>
    <x v="0"/>
  </r>
  <r>
    <s v="ORD0041"/>
    <s v="CUST001"/>
    <s v="PROD011"/>
    <x v="4"/>
    <n v="173"/>
    <n v="4"/>
    <n v="692"/>
    <s v="Apple Pay"/>
    <x v="1"/>
    <s v="UPS"/>
    <d v="2023-09-23T00:00:00"/>
    <d v="2023-09-30T00:00:00"/>
    <m/>
    <x v="1"/>
    <s v="Electronics"/>
    <n v="7"/>
    <s v="James Miller"/>
    <x v="2"/>
  </r>
  <r>
    <s v="ORD0042"/>
    <s v="CUST007"/>
    <s v="PROD004"/>
    <x v="4"/>
    <n v="63"/>
    <n v="3"/>
    <n v="189"/>
    <s v="Apple Pay"/>
    <x v="1"/>
    <s v="UPS"/>
    <d v="2023-07-16T00:00:00"/>
    <d v="2023-07-18T00:00:00"/>
    <m/>
    <x v="1"/>
    <s v="Toys"/>
    <n v="2"/>
    <s v="Liam Walker"/>
    <x v="1"/>
  </r>
  <r>
    <s v="ORD0043"/>
    <s v="CUST040"/>
    <s v="PROD021"/>
    <x v="4"/>
    <n v="36"/>
    <n v="3"/>
    <n v="108"/>
    <s v="Debit Card"/>
    <x v="0"/>
    <s v="USPS"/>
    <d v="2023-02-05T00:00:00"/>
    <m/>
    <d v="2023-02-11T00:00:00"/>
    <x v="0"/>
    <s v="Home"/>
    <s v="na"/>
    <s v="Benjamin Clark"/>
    <x v="0"/>
  </r>
  <r>
    <s v="ORD0044"/>
    <s v="CUST006"/>
    <s v="PROD004"/>
    <x v="3"/>
    <n v="62"/>
    <n v="1"/>
    <n v="62"/>
    <s v="Apple Pay"/>
    <x v="0"/>
    <s v="Amazon Logistics"/>
    <d v="2023-12-18T00:00:00"/>
    <m/>
    <d v="2023-12-23T00:00:00"/>
    <x v="0"/>
    <s v="Toys"/>
    <s v="na"/>
    <s v="Ava Robinson"/>
    <x v="0"/>
  </r>
  <r>
    <s v="ORD0045"/>
    <s v="CUST042"/>
    <s v="PROD003"/>
    <x v="3"/>
    <n v="137"/>
    <n v="5"/>
    <n v="685"/>
    <s v="Amazon Pay"/>
    <x v="0"/>
    <s v="FedEx"/>
    <d v="2023-06-11T00:00:00"/>
    <m/>
    <d v="2023-06-14T00:00:00"/>
    <x v="0"/>
    <s v="Home"/>
    <s v="na"/>
    <s v="Noah Wilson"/>
    <x v="0"/>
  </r>
  <r>
    <s v="ORD0046"/>
    <s v="CUST039"/>
    <s v="PROD017"/>
    <x v="0"/>
    <n v="73"/>
    <n v="4"/>
    <n v="292"/>
    <s v="Credit Card"/>
    <x v="1"/>
    <s v="Amazon Logistics"/>
    <d v="2023-12-04T00:00:00"/>
    <d v="2023-12-08T00:00:00"/>
    <m/>
    <x v="1"/>
    <s v="Electronics"/>
    <n v="4"/>
    <s v="Logan Ramirez"/>
    <x v="2"/>
  </r>
  <r>
    <s v="ORD0047"/>
    <s v="CUST041"/>
    <s v="PROD020"/>
    <x v="0"/>
    <n v="104"/>
    <n v="1"/>
    <n v="104"/>
    <s v="PayPal"/>
    <x v="1"/>
    <s v="Amazon Logistics"/>
    <d v="2023-07-17T00:00:00"/>
    <d v="2023-07-19T00:00:00"/>
    <m/>
    <x v="1"/>
    <s v="Electronics"/>
    <n v="2"/>
    <s v="Jacob Price"/>
    <x v="1"/>
  </r>
  <r>
    <s v="ORD0048"/>
    <s v="CUST044"/>
    <s v="PROD006"/>
    <x v="1"/>
    <n v="97"/>
    <n v="1"/>
    <n v="97"/>
    <s v="Amazon Pay"/>
    <x v="1"/>
    <s v="FedEx"/>
    <d v="2023-10-19T00:00:00"/>
    <d v="2023-10-24T00:00:00"/>
    <m/>
    <x v="1"/>
    <s v="Fashion"/>
    <n v="5"/>
    <s v="Grace Ward"/>
    <x v="2"/>
  </r>
  <r>
    <s v="ORD0049"/>
    <s v="CUST026"/>
    <s v="PROD017"/>
    <x v="2"/>
    <n v="73"/>
    <n v="5"/>
    <n v="365"/>
    <s v="Apple Pay"/>
    <x v="2"/>
    <s v="Amazon Logistics"/>
    <d v="2023-05-15T00:00:00"/>
    <m/>
    <m/>
    <x v="1"/>
    <s v="Electronics"/>
    <s v="na"/>
    <s v="Zoe Mitchell"/>
    <x v="0"/>
  </r>
  <r>
    <s v="ORD0050"/>
    <s v="CUST040"/>
    <s v="PROD005"/>
    <x v="1"/>
    <n v="27"/>
    <n v="3"/>
    <n v="81"/>
    <s v="Amazon Pay"/>
    <x v="1"/>
    <s v="UPS"/>
    <d v="2023-02-12T00:00:00"/>
    <d v="2023-02-19T00:00:00"/>
    <m/>
    <x v="1"/>
    <s v="Fashion"/>
    <n v="7"/>
    <s v="Benjamin Clark"/>
    <x v="2"/>
  </r>
  <r>
    <s v="ORD0051"/>
    <s v="CUST041"/>
    <s v="PROD021"/>
    <x v="0"/>
    <n v="37"/>
    <n v="1"/>
    <n v="37"/>
    <s v="Apple Pay"/>
    <x v="2"/>
    <s v="UPS"/>
    <d v="2023-10-02T00:00:00"/>
    <m/>
    <m/>
    <x v="1"/>
    <s v="Home"/>
    <s v="na"/>
    <s v="Jacob Price"/>
    <x v="0"/>
  </r>
  <r>
    <s v="ORD0052"/>
    <s v="CUST008"/>
    <s v="PROD015"/>
    <x v="0"/>
    <n v="22"/>
    <n v="1"/>
    <n v="22"/>
    <s v="Debit Card"/>
    <x v="1"/>
    <s v="FedEx"/>
    <d v="2023-01-30T00:00:00"/>
    <d v="2023-02-01T00:00:00"/>
    <m/>
    <x v="1"/>
    <s v="Books"/>
    <n v="2"/>
    <s v="Harper Young"/>
    <x v="1"/>
  </r>
  <r>
    <s v="ORD0053"/>
    <s v="CUST011"/>
    <s v="PROD016"/>
    <x v="3"/>
    <n v="218"/>
    <n v="5"/>
    <n v="1090"/>
    <s v="PayPal"/>
    <x v="1"/>
    <s v="DHL"/>
    <d v="2023-12-29T00:00:00"/>
    <d v="2024-01-01T00:00:00"/>
    <m/>
    <x v="1"/>
    <s v="Home"/>
    <n v="3"/>
    <s v="Mason Hall"/>
    <x v="2"/>
  </r>
  <r>
    <s v="ORD0054"/>
    <s v="CUST018"/>
    <s v="PROD004"/>
    <x v="0"/>
    <n v="64"/>
    <n v="1"/>
    <n v="64"/>
    <s v="Apple Pay"/>
    <x v="0"/>
    <s v="USPS"/>
    <d v="2023-03-06T00:00:00"/>
    <m/>
    <d v="2023-03-13T00:00:00"/>
    <x v="0"/>
    <s v="Toys"/>
    <s v="na"/>
    <s v="Grace Scott"/>
    <x v="0"/>
  </r>
  <r>
    <s v="ORD0055"/>
    <s v="CUST037"/>
    <s v="PROD021"/>
    <x v="3"/>
    <n v="36"/>
    <n v="4"/>
    <n v="144"/>
    <s v="PayPal"/>
    <x v="1"/>
    <s v="Amazon Logistics"/>
    <d v="2023-02-02T00:00:00"/>
    <d v="2023-02-06T00:00:00"/>
    <m/>
    <x v="1"/>
    <s v="Home"/>
    <n v="4"/>
    <s v="Emily Johnson"/>
    <x v="2"/>
  </r>
  <r>
    <s v="ORD0056"/>
    <s v="CUST017"/>
    <s v="PROD004"/>
    <x v="4"/>
    <n v="65"/>
    <n v="1"/>
    <n v="65"/>
    <s v="Amazon Pay"/>
    <x v="1"/>
    <s v="FedEx"/>
    <d v="2023-10-18T00:00:00"/>
    <d v="2023-10-21T00:00:00"/>
    <m/>
    <x v="1"/>
    <s v="Toys"/>
    <n v="3"/>
    <s v="Emma King"/>
    <x v="2"/>
  </r>
  <r>
    <s v="ORD0057"/>
    <s v="CUST025"/>
    <s v="PROD005"/>
    <x v="3"/>
    <n v="26"/>
    <n v="1"/>
    <n v="26"/>
    <s v="Apple Pay"/>
    <x v="1"/>
    <s v="DHL"/>
    <d v="2023-01-07T00:00:00"/>
    <d v="2023-01-09T00:00:00"/>
    <m/>
    <x v="1"/>
    <s v="Fashion"/>
    <n v="2"/>
    <s v="Emma King"/>
    <x v="1"/>
  </r>
  <r>
    <s v="ORD0058"/>
    <s v="CUST021"/>
    <s v="PROD009"/>
    <x v="0"/>
    <n v="11"/>
    <n v="5"/>
    <n v="55"/>
    <s v="Credit Card"/>
    <x v="2"/>
    <s v="FedEx"/>
    <d v="2023-05-08T00:00:00"/>
    <m/>
    <m/>
    <x v="1"/>
    <s v="Books"/>
    <s v="na"/>
    <s v="Zoe Mitchell"/>
    <x v="0"/>
  </r>
  <r>
    <s v="ORD0059"/>
    <s v="CUST003"/>
    <s v="PROD013"/>
    <x v="0"/>
    <n v="195"/>
    <n v="4"/>
    <n v="780"/>
    <s v="PayPal"/>
    <x v="0"/>
    <s v="FedEx"/>
    <d v="2023-04-02T00:00:00"/>
    <m/>
    <d v="2023-04-05T00:00:00"/>
    <x v="0"/>
    <s v="Home"/>
    <s v="na"/>
    <s v="Ethan Davis"/>
    <x v="0"/>
  </r>
  <r>
    <s v="ORD0060"/>
    <s v="CUST019"/>
    <s v="PROD019"/>
    <x v="4"/>
    <n v="44"/>
    <n v="5"/>
    <n v="220"/>
    <s v="Apple Pay"/>
    <x v="0"/>
    <s v="USPS"/>
    <d v="2023-10-11T00:00:00"/>
    <m/>
    <d v="2023-10-12T00:00:00"/>
    <x v="0"/>
    <s v="Fashion"/>
    <s v="na"/>
    <s v="Ava Robinson"/>
    <x v="0"/>
  </r>
  <r>
    <s v="ORD0061"/>
    <s v="CUST035"/>
    <s v="PROD008"/>
    <x v="1"/>
    <n v="69"/>
    <n v="4"/>
    <n v="276"/>
    <s v="Debit Card"/>
    <x v="2"/>
    <s v="DHL"/>
    <d v="2023-09-10T00:00:00"/>
    <m/>
    <m/>
    <x v="1"/>
    <s v="Books"/>
    <s v="na"/>
    <s v="Scarlett Adams"/>
    <x v="0"/>
  </r>
  <r>
    <s v="ORD0062"/>
    <s v="CUST022"/>
    <s v="PROD001"/>
    <x v="0"/>
    <n v="815"/>
    <n v="4"/>
    <n v="3260"/>
    <s v="Credit Card"/>
    <x v="1"/>
    <s v="USPS"/>
    <d v="2023-11-22T00:00:00"/>
    <d v="2023-11-29T00:00:00"/>
    <m/>
    <x v="1"/>
    <s v="Electronics"/>
    <n v="7"/>
    <s v="Elijah Lewis"/>
    <x v="2"/>
  </r>
  <r>
    <s v="ORD0063"/>
    <s v="CUST004"/>
    <s v="PROD005"/>
    <x v="1"/>
    <n v="27"/>
    <n v="1"/>
    <n v="27"/>
    <s v="Debit Card"/>
    <x v="2"/>
    <s v="Amazon Logistics"/>
    <d v="2023-05-02T00:00:00"/>
    <m/>
    <m/>
    <x v="1"/>
    <s v="Fashion"/>
    <s v="na"/>
    <s v="Noah Wilson"/>
    <x v="0"/>
  </r>
  <r>
    <s v="ORD0064"/>
    <s v="CUST048"/>
    <s v="PROD003"/>
    <x v="4"/>
    <n v="139"/>
    <n v="5"/>
    <n v="695"/>
    <s v="Apple Pay"/>
    <x v="1"/>
    <s v="USPS"/>
    <d v="2023-12-25T00:00:00"/>
    <d v="2023-12-29T00:00:00"/>
    <m/>
    <x v="1"/>
    <s v="Home"/>
    <n v="4"/>
    <s v="Noah Wilson"/>
    <x v="2"/>
  </r>
  <r>
    <s v="ORD0065"/>
    <s v="CUST009"/>
    <s v="PROD008"/>
    <x v="2"/>
    <n v="69"/>
    <n v="3"/>
    <n v="207"/>
    <s v="PayPal"/>
    <x v="0"/>
    <s v="Amazon Logistics"/>
    <d v="2023-10-18T00:00:00"/>
    <m/>
    <d v="2023-10-20T00:00:00"/>
    <x v="0"/>
    <s v="Books"/>
    <s v="na"/>
    <s v="Jackson Allen"/>
    <x v="0"/>
  </r>
  <r>
    <s v="ORD0066"/>
    <s v="CUST009"/>
    <s v="PROD019"/>
    <x v="4"/>
    <n v="42"/>
    <n v="1"/>
    <n v="42"/>
    <s v="Apple Pay"/>
    <x v="0"/>
    <s v="DHL"/>
    <d v="2023-05-20T00:00:00"/>
    <m/>
    <d v="2023-05-21T00:00:00"/>
    <x v="0"/>
    <s v="Fashion"/>
    <s v="na"/>
    <s v="Jackson Allen"/>
    <x v="0"/>
  </r>
  <r>
    <s v="ORD0067"/>
    <s v="CUST050"/>
    <s v="PROD007"/>
    <x v="0"/>
    <n v="31"/>
    <n v="4"/>
    <n v="124"/>
    <s v="Credit Card"/>
    <x v="1"/>
    <s v="UPS"/>
    <d v="2023-07-28T00:00:00"/>
    <d v="2023-07-30T00:00:00"/>
    <m/>
    <x v="1"/>
    <s v="Toys"/>
    <n v="2"/>
    <s v="not found"/>
    <x v="1"/>
  </r>
  <r>
    <s v="ORD0068"/>
    <s v="CUST045"/>
    <s v="PROD020"/>
    <x v="4"/>
    <n v="104"/>
    <n v="3"/>
    <n v="312"/>
    <s v="Credit Card"/>
    <x v="2"/>
    <s v="UPS"/>
    <d v="2023-12-18T00:00:00"/>
    <m/>
    <m/>
    <x v="1"/>
    <s v="Electronics"/>
    <s v="na"/>
    <s v="Emily Johnson"/>
    <x v="0"/>
  </r>
  <r>
    <s v="ORD0069"/>
    <s v="CUST044"/>
    <s v="PROD010"/>
    <x v="1"/>
    <n v="58"/>
    <n v="2"/>
    <n v="116"/>
    <s v="Apple Pay"/>
    <x v="0"/>
    <s v="USPS"/>
    <d v="2023-07-02T00:00:00"/>
    <m/>
    <d v="2023-07-07T00:00:00"/>
    <x v="0"/>
    <s v="Fashion"/>
    <s v="na"/>
    <s v="Grace Ward"/>
    <x v="0"/>
  </r>
  <r>
    <s v="ORD0070"/>
    <s v="CUST009"/>
    <s v="PROD004"/>
    <x v="4"/>
    <n v="62"/>
    <n v="2"/>
    <n v="124"/>
    <s v="Debit Card"/>
    <x v="0"/>
    <s v="DHL"/>
    <d v="2023-10-09T00:00:00"/>
    <m/>
    <d v="2023-10-10T00:00:00"/>
    <x v="0"/>
    <s v="Toys"/>
    <s v="na"/>
    <s v="Jackson Allen"/>
    <x v="0"/>
  </r>
  <r>
    <s v="ORD0071"/>
    <s v="CUST006"/>
    <s v="PROD019"/>
    <x v="1"/>
    <n v="43"/>
    <n v="1"/>
    <n v="43"/>
    <s v="Credit Card"/>
    <x v="1"/>
    <s v="Amazon Logistics"/>
    <d v="2023-12-18T00:00:00"/>
    <d v="2023-12-25T00:00:00"/>
    <m/>
    <x v="1"/>
    <s v="Fashion"/>
    <n v="7"/>
    <s v="Ava Robinson"/>
    <x v="2"/>
  </r>
  <r>
    <s v="ORD0072"/>
    <s v="CUST022"/>
    <s v="PROD004"/>
    <x v="1"/>
    <n v="62"/>
    <n v="4"/>
    <n v="248"/>
    <s v="Debit Card"/>
    <x v="2"/>
    <s v="Amazon Logistics"/>
    <d v="2023-03-07T00:00:00"/>
    <m/>
    <m/>
    <x v="1"/>
    <s v="Toys"/>
    <s v="na"/>
    <s v="Elijah Lewis"/>
    <x v="0"/>
  </r>
  <r>
    <s v="ORD0073"/>
    <s v="CUST028"/>
    <s v="PROD006"/>
    <x v="0"/>
    <n v="95"/>
    <n v="2"/>
    <n v="190"/>
    <s v="PayPal"/>
    <x v="0"/>
    <s v="UPS"/>
    <d v="2023-07-22T00:00:00"/>
    <m/>
    <d v="2023-07-25T00:00:00"/>
    <x v="0"/>
    <s v="Fashion"/>
    <s v="na"/>
    <s v="Lily Bennett"/>
    <x v="0"/>
  </r>
  <r>
    <s v="ORD0074"/>
    <s v="CUST016"/>
    <s v="PROD021"/>
    <x v="3"/>
    <n v="36"/>
    <n v="4"/>
    <n v="144"/>
    <s v="Apple Pay"/>
    <x v="1"/>
    <s v="FedEx"/>
    <d v="2023-01-18T00:00:00"/>
    <d v="2023-01-24T00:00:00"/>
    <m/>
    <x v="1"/>
    <s v="Home"/>
    <n v="6"/>
    <s v="Elijah Lewis"/>
    <x v="2"/>
  </r>
  <r>
    <s v="ORD0075"/>
    <s v="CUST042"/>
    <s v="PROD017"/>
    <x v="1"/>
    <n v="73"/>
    <n v="5"/>
    <n v="365"/>
    <s v="Apple Pay"/>
    <x v="2"/>
    <s v="DHL"/>
    <d v="2023-05-24T00:00:00"/>
    <m/>
    <m/>
    <x v="1"/>
    <s v="Electronics"/>
    <s v="na"/>
    <s v="Noah Wilson"/>
    <x v="0"/>
  </r>
  <r>
    <s v="ORD0076"/>
    <s v="CUST023"/>
    <s v="PROD019"/>
    <x v="0"/>
    <n v="43"/>
    <n v="4"/>
    <n v="172"/>
    <s v="Debit Card"/>
    <x v="1"/>
    <s v="DHL"/>
    <d v="2023-09-03T00:00:00"/>
    <d v="2023-09-09T00:00:00"/>
    <m/>
    <x v="1"/>
    <s v="Fashion"/>
    <n v="6"/>
    <s v="Charlotte Reed"/>
    <x v="2"/>
  </r>
  <r>
    <s v="ORD0077"/>
    <s v="CUST004"/>
    <s v="PROD016"/>
    <x v="4"/>
    <n v="214"/>
    <n v="5"/>
    <n v="1070"/>
    <s v="Debit Card"/>
    <x v="1"/>
    <s v="UPS"/>
    <d v="2023-11-02T00:00:00"/>
    <d v="2023-11-04T00:00:00"/>
    <m/>
    <x v="1"/>
    <s v="Home"/>
    <n v="2"/>
    <s v="Noah Wilson"/>
    <x v="1"/>
  </r>
  <r>
    <s v="ORD0078"/>
    <s v="CUST048"/>
    <s v="PROD002"/>
    <x v="3"/>
    <n v="42"/>
    <n v="2"/>
    <n v="84"/>
    <s v="Apple Pay"/>
    <x v="0"/>
    <s v="UPS"/>
    <d v="2023-12-03T00:00:00"/>
    <m/>
    <d v="2023-12-06T00:00:00"/>
    <x v="0"/>
    <s v="Toys"/>
    <s v="na"/>
    <s v="Noah Wilson"/>
    <x v="0"/>
  </r>
  <r>
    <s v="ORD0079"/>
    <s v="CUST048"/>
    <s v="PROD012"/>
    <x v="0"/>
    <n v="46"/>
    <n v="1"/>
    <n v="46"/>
    <s v="Amazon Pay"/>
    <x v="2"/>
    <s v="UPS"/>
    <d v="2023-04-01T00:00:00"/>
    <m/>
    <m/>
    <x v="1"/>
    <s v="Home"/>
    <s v="na"/>
    <s v="Noah Wilson"/>
    <x v="0"/>
  </r>
  <r>
    <s v="ORD0080"/>
    <s v="CUST032"/>
    <s v="PROD018"/>
    <x v="1"/>
    <n v="95"/>
    <n v="4"/>
    <n v="380"/>
    <s v="Credit Card"/>
    <x v="1"/>
    <s v="UPS"/>
    <d v="2023-10-16T00:00:00"/>
    <d v="2023-10-19T00:00:00"/>
    <m/>
    <x v="1"/>
    <s v="Toys"/>
    <n v="3"/>
    <s v="Luke Gray"/>
    <x v="2"/>
  </r>
  <r>
    <s v="ORD0081"/>
    <s v="CUST001"/>
    <s v="PROD011"/>
    <x v="4"/>
    <n v="174"/>
    <n v="2"/>
    <n v="348"/>
    <s v="PayPal"/>
    <x v="2"/>
    <s v="UPS"/>
    <d v="2023-11-05T00:00:00"/>
    <m/>
    <m/>
    <x v="1"/>
    <s v="Electronics"/>
    <s v="na"/>
    <s v="James Miller"/>
    <x v="0"/>
  </r>
  <r>
    <s v="ORD0082"/>
    <s v="CUST046"/>
    <s v="PROD005"/>
    <x v="0"/>
    <n v="27"/>
    <n v="5"/>
    <n v="135"/>
    <s v="Credit Card"/>
    <x v="0"/>
    <s v="Amazon Logistics"/>
    <d v="2023-06-15T00:00:00"/>
    <m/>
    <d v="2023-06-18T00:00:00"/>
    <x v="0"/>
    <s v="Fashion"/>
    <s v="na"/>
    <s v="Emily Johnson"/>
    <x v="0"/>
  </r>
  <r>
    <s v="ORD0083"/>
    <s v="CUST021"/>
    <s v="PROD005"/>
    <x v="2"/>
    <n v="27"/>
    <n v="4"/>
    <n v="108"/>
    <s v="PayPal"/>
    <x v="1"/>
    <s v="USPS"/>
    <d v="2023-10-28T00:00:00"/>
    <d v="2023-10-30T00:00:00"/>
    <m/>
    <x v="1"/>
    <s v="Fashion"/>
    <n v="2"/>
    <s v="Zoe Mitchell"/>
    <x v="1"/>
  </r>
  <r>
    <s v="ORD0084"/>
    <s v="CUST015"/>
    <s v="PROD022"/>
    <x v="2"/>
    <n v="65"/>
    <n v="2"/>
    <n v="130"/>
    <s v="PayPal"/>
    <x v="2"/>
    <s v="DHL"/>
    <d v="2023-12-22T00:00:00"/>
    <m/>
    <m/>
    <x v="1"/>
    <s v="Fashion"/>
    <s v="na"/>
    <s v="Ava White"/>
    <x v="0"/>
  </r>
  <r>
    <s v="ORD0085"/>
    <s v="CUST045"/>
    <s v="PROD019"/>
    <x v="1"/>
    <n v="43"/>
    <n v="5"/>
    <n v="215"/>
    <s v="Debit Card"/>
    <x v="2"/>
    <s v="DHL"/>
    <d v="2023-03-07T00:00:00"/>
    <m/>
    <m/>
    <x v="1"/>
    <s v="Fashion"/>
    <s v="na"/>
    <s v="Emily Johnson"/>
    <x v="0"/>
  </r>
  <r>
    <s v="ORD0086"/>
    <s v="CUST007"/>
    <s v="PROD016"/>
    <x v="4"/>
    <n v="210"/>
    <n v="1"/>
    <n v="210"/>
    <s v="PayPal"/>
    <x v="2"/>
    <s v="UPS"/>
    <d v="2023-11-10T00:00:00"/>
    <m/>
    <m/>
    <x v="1"/>
    <s v="Home"/>
    <s v="na"/>
    <s v="Liam Walker"/>
    <x v="0"/>
  </r>
  <r>
    <s v="ORD0087"/>
    <s v="CUST043"/>
    <s v="PROD021"/>
    <x v="2"/>
    <n v="37"/>
    <n v="3"/>
    <n v="111"/>
    <s v="Credit Card"/>
    <x v="2"/>
    <s v="UPS"/>
    <d v="2023-11-22T00:00:00"/>
    <m/>
    <m/>
    <x v="1"/>
    <s v="Home"/>
    <s v="na"/>
    <s v="Lily Reed"/>
    <x v="0"/>
  </r>
  <r>
    <s v="ORD0088"/>
    <s v="CUST007"/>
    <s v="PROD001"/>
    <x v="2"/>
    <n v="788"/>
    <n v="4"/>
    <n v="3152"/>
    <s v="Debit Card"/>
    <x v="2"/>
    <s v="Amazon Logistics"/>
    <d v="2023-05-08T00:00:00"/>
    <m/>
    <m/>
    <x v="1"/>
    <s v="Electronics"/>
    <s v="na"/>
    <s v="Liam Walker"/>
    <x v="0"/>
  </r>
  <r>
    <s v="ORD0089"/>
    <s v="CUST007"/>
    <s v="PROD016"/>
    <x v="4"/>
    <n v="217"/>
    <n v="5"/>
    <n v="1085"/>
    <s v="Debit Card"/>
    <x v="2"/>
    <s v="FedEx"/>
    <d v="2023-07-13T00:00:00"/>
    <m/>
    <m/>
    <x v="1"/>
    <s v="Home"/>
    <s v="na"/>
    <s v="Liam Walker"/>
    <x v="0"/>
  </r>
  <r>
    <s v="ORD0090"/>
    <s v="CUST007"/>
    <s v="PROD003"/>
    <x v="4"/>
    <n v="138"/>
    <n v="4"/>
    <n v="552"/>
    <s v="Credit Card"/>
    <x v="2"/>
    <s v="FedEx"/>
    <d v="2023-01-18T00:00:00"/>
    <m/>
    <m/>
    <x v="1"/>
    <s v="Home"/>
    <s v="na"/>
    <s v="Liam Walker"/>
    <x v="0"/>
  </r>
  <r>
    <s v="ORD0091"/>
    <s v="CUST031"/>
    <s v="PROD001"/>
    <x v="3"/>
    <n v="803"/>
    <n v="2"/>
    <n v="1606"/>
    <s v="Apple Pay"/>
    <x v="1"/>
    <s v="FedEx"/>
    <d v="2023-06-23T00:00:00"/>
    <d v="2023-06-29T00:00:00"/>
    <m/>
    <x v="1"/>
    <s v="Electronics"/>
    <n v="6"/>
    <s v="Mason Collins"/>
    <x v="2"/>
  </r>
  <r>
    <s v="ORD0092"/>
    <s v="CUST013"/>
    <s v="PROD014"/>
    <x v="0"/>
    <n v="248"/>
    <n v="5"/>
    <n v="1240"/>
    <s v="PayPal"/>
    <x v="0"/>
    <s v="UPS"/>
    <d v="2023-02-21T00:00:00"/>
    <m/>
    <d v="2023-02-25T00:00:00"/>
    <x v="0"/>
    <s v="Electronics"/>
    <s v="na"/>
    <s v="Olivia Martinez"/>
    <x v="0"/>
  </r>
  <r>
    <s v="ORD0093"/>
    <s v="CUST036"/>
    <s v="PROD016"/>
    <x v="1"/>
    <n v="210"/>
    <n v="3"/>
    <n v="630"/>
    <s v="Apple Pay"/>
    <x v="1"/>
    <s v="DHL"/>
    <d v="2023-02-19T00:00:00"/>
    <d v="2023-02-21T00:00:00"/>
    <m/>
    <x v="1"/>
    <s v="Home"/>
    <n v="2"/>
    <s v="Ethan Davis"/>
    <x v="1"/>
  </r>
  <r>
    <s v="ORD0094"/>
    <s v="CUST013"/>
    <s v="PROD004"/>
    <x v="0"/>
    <n v="62"/>
    <n v="2"/>
    <n v="124"/>
    <s v="Credit Card"/>
    <x v="0"/>
    <s v="FedEx"/>
    <d v="2023-12-05T00:00:00"/>
    <m/>
    <d v="2023-12-12T00:00:00"/>
    <x v="0"/>
    <s v="Toys"/>
    <s v="na"/>
    <s v="Olivia Martinez"/>
    <x v="0"/>
  </r>
  <r>
    <s v="ORD0095"/>
    <s v="CUST043"/>
    <s v="PROD009"/>
    <x v="2"/>
    <n v="11"/>
    <n v="5"/>
    <n v="55"/>
    <s v="Debit Card"/>
    <x v="0"/>
    <s v="Amazon Logistics"/>
    <d v="2023-06-07T00:00:00"/>
    <m/>
    <d v="2023-06-12T00:00:00"/>
    <x v="0"/>
    <s v="Books"/>
    <s v="na"/>
    <s v="Lily Reed"/>
    <x v="0"/>
  </r>
  <r>
    <s v="ORD0096"/>
    <s v="CUST017"/>
    <s v="PROD015"/>
    <x v="0"/>
    <n v="21"/>
    <n v="2"/>
    <n v="42"/>
    <s v="Amazon Pay"/>
    <x v="1"/>
    <s v="UPS"/>
    <d v="2023-07-09T00:00:00"/>
    <d v="2023-07-12T00:00:00"/>
    <m/>
    <x v="1"/>
    <s v="Books"/>
    <n v="3"/>
    <s v="Emma King"/>
    <x v="2"/>
  </r>
  <r>
    <s v="ORD0097"/>
    <s v="CUST023"/>
    <s v="PROD018"/>
    <x v="4"/>
    <n v="95"/>
    <n v="5"/>
    <n v="475"/>
    <s v="Amazon Pay"/>
    <x v="1"/>
    <s v="Amazon Logistics"/>
    <d v="2023-12-23T00:00:00"/>
    <d v="2023-12-26T00:00:00"/>
    <m/>
    <x v="1"/>
    <s v="Toys"/>
    <n v="3"/>
    <s v="Charlotte Reed"/>
    <x v="2"/>
  </r>
  <r>
    <s v="ORD0098"/>
    <s v="CUST044"/>
    <s v="PROD016"/>
    <x v="2"/>
    <n v="215"/>
    <n v="2"/>
    <n v="430"/>
    <s v="PayPal"/>
    <x v="1"/>
    <s v="Amazon Logistics"/>
    <d v="2023-09-25T00:00:00"/>
    <d v="2023-09-30T00:00:00"/>
    <m/>
    <x v="1"/>
    <s v="Home"/>
    <n v="5"/>
    <s v="Grace Ward"/>
    <x v="2"/>
  </r>
  <r>
    <s v="ORD0099"/>
    <s v="CUST034"/>
    <s v="PROD019"/>
    <x v="4"/>
    <n v="43"/>
    <n v="5"/>
    <n v="215"/>
    <s v="Credit Card"/>
    <x v="0"/>
    <s v="UPS"/>
    <d v="2023-01-18T00:00:00"/>
    <m/>
    <d v="2023-01-24T00:00:00"/>
    <x v="0"/>
    <s v="Fashion"/>
    <s v="na"/>
    <s v="Lily Simmons"/>
    <x v="0"/>
  </r>
  <r>
    <s v="ORD0100"/>
    <s v="CUST009"/>
    <s v="PROD002"/>
    <x v="4"/>
    <n v="42"/>
    <n v="4"/>
    <n v="168"/>
    <s v="Debit Card"/>
    <x v="2"/>
    <s v="DHL"/>
    <d v="2023-03-27T00:00:00"/>
    <m/>
    <m/>
    <x v="1"/>
    <s v="Toys"/>
    <s v="na"/>
    <s v="Jackson Allen"/>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s v="yes"/>
    <s v="Home"/>
    <s v="na"/>
    <s v="Zoe Mitchell"/>
    <s v="na"/>
    <x v="0"/>
  </r>
  <r>
    <s v="ORD0002"/>
    <s v="CUST029"/>
    <s v="PROD018"/>
    <x v="1"/>
    <n v="96"/>
    <n v="4"/>
    <n v="384"/>
    <x v="1"/>
    <x v="1"/>
    <s v="DHL"/>
    <d v="2023-02-22T00:00:00"/>
    <d v="2023-02-24T00:00:00"/>
    <m/>
    <s v="no"/>
    <s v="Toys"/>
    <n v="2"/>
    <s v="Ava White"/>
    <s v="fast"/>
    <x v="1"/>
  </r>
  <r>
    <s v="ORD0003"/>
    <s v="CUST021"/>
    <s v="PROD013"/>
    <x v="2"/>
    <n v="194"/>
    <n v="4"/>
    <n v="776"/>
    <x v="1"/>
    <x v="2"/>
    <s v="USPS"/>
    <d v="2023-10-11T00:00:00"/>
    <m/>
    <m/>
    <s v="no"/>
    <s v="Home"/>
    <s v="na"/>
    <s v="Zoe Mitchell"/>
    <s v="na"/>
    <x v="2"/>
  </r>
  <r>
    <s v="ORD0004"/>
    <s v="CUST044"/>
    <s v="PROD013"/>
    <x v="0"/>
    <n v="196"/>
    <n v="3"/>
    <n v="588"/>
    <x v="2"/>
    <x v="0"/>
    <s v="UPS"/>
    <d v="2023-05-05T00:00:00"/>
    <m/>
    <d v="2023-05-11T00:00:00"/>
    <s v="yes"/>
    <s v="Home"/>
    <s v="na"/>
    <s v="Grace Ward"/>
    <s v="na"/>
    <x v="2"/>
  </r>
  <r>
    <s v="ORD0005"/>
    <s v="CUST027"/>
    <s v="PROD010"/>
    <x v="0"/>
    <n v="59"/>
    <n v="1"/>
    <n v="59"/>
    <x v="2"/>
    <x v="1"/>
    <s v="Amazon Logistics"/>
    <d v="2023-02-02T00:00:00"/>
    <d v="2023-02-05T00:00:00"/>
    <m/>
    <s v="no"/>
    <s v="Fashion"/>
    <n v="3"/>
    <s v="Hazel Brooks"/>
    <s v="slow"/>
    <x v="3"/>
  </r>
  <r>
    <s v="ORD0006"/>
    <s v="CUST009"/>
    <s v="PROD010"/>
    <x v="0"/>
    <n v="58"/>
    <n v="4"/>
    <n v="232"/>
    <x v="3"/>
    <x v="0"/>
    <s v="DHL"/>
    <d v="2023-11-01T00:00:00"/>
    <m/>
    <d v="2023-11-02T00:00:00"/>
    <s v="yes"/>
    <s v="Fashion"/>
    <s v="na"/>
    <s v="Jackson Allen"/>
    <s v="na"/>
    <x v="3"/>
  </r>
  <r>
    <s v="ORD0007"/>
    <s v="CUST042"/>
    <s v="PROD020"/>
    <x v="3"/>
    <n v="105"/>
    <n v="3"/>
    <n v="315"/>
    <x v="4"/>
    <x v="0"/>
    <s v="DHL"/>
    <d v="2023-08-14T00:00:00"/>
    <m/>
    <d v="2023-08-18T00:00:00"/>
    <s v="yes"/>
    <s v="Electronics"/>
    <s v="na"/>
    <s v="Noah Wilson"/>
    <s v="na"/>
    <x v="4"/>
  </r>
  <r>
    <s v="ORD0008"/>
    <s v="CUST019"/>
    <s v="PROD021"/>
    <x v="4"/>
    <n v="37"/>
    <n v="5"/>
    <n v="185"/>
    <x v="2"/>
    <x v="0"/>
    <s v="DHL"/>
    <d v="2023-04-01T00:00:00"/>
    <m/>
    <d v="2023-04-06T00:00:00"/>
    <s v="yes"/>
    <s v="Home"/>
    <s v="na"/>
    <s v="Ava Robinson"/>
    <s v="na"/>
    <x v="5"/>
  </r>
  <r>
    <s v="ORD0009"/>
    <s v="CUST013"/>
    <s v="PROD019"/>
    <x v="3"/>
    <n v="44"/>
    <n v="2"/>
    <n v="88"/>
    <x v="1"/>
    <x v="2"/>
    <s v="Amazon Logistics"/>
    <d v="2023-07-21T00:00:00"/>
    <m/>
    <m/>
    <s v="no"/>
    <s v="Fashion"/>
    <s v="na"/>
    <s v="Olivia Martinez"/>
    <s v="na"/>
    <x v="6"/>
  </r>
  <r>
    <s v="ORD0010"/>
    <s v="CUST019"/>
    <s v="PROD003"/>
    <x v="2"/>
    <n v="141"/>
    <n v="4"/>
    <n v="564"/>
    <x v="4"/>
    <x v="2"/>
    <s v="DHL"/>
    <d v="2023-12-29T00:00:00"/>
    <m/>
    <m/>
    <s v="no"/>
    <s v="Home"/>
    <s v="na"/>
    <s v="Ava Robinson"/>
    <s v="na"/>
    <x v="7"/>
  </r>
  <r>
    <s v="ORD0011"/>
    <s v="CUST046"/>
    <s v="PROD014"/>
    <x v="2"/>
    <n v="249"/>
    <n v="1"/>
    <n v="249"/>
    <x v="3"/>
    <x v="0"/>
    <s v="USPS"/>
    <d v="2023-05-04T00:00:00"/>
    <m/>
    <d v="2023-05-08T00:00:00"/>
    <s v="yes"/>
    <s v="Electronics"/>
    <s v="na"/>
    <s v="Emily Johnson"/>
    <s v="na"/>
    <x v="8"/>
  </r>
  <r>
    <s v="ORD0012"/>
    <s v="CUST045"/>
    <s v="PROD014"/>
    <x v="3"/>
    <n v="247"/>
    <n v="3"/>
    <n v="741"/>
    <x v="3"/>
    <x v="2"/>
    <s v="FedEx"/>
    <d v="2023-07-25T00:00:00"/>
    <m/>
    <m/>
    <s v="no"/>
    <s v="Electronics"/>
    <s v="na"/>
    <s v="Emily Johnson"/>
    <s v="na"/>
    <x v="8"/>
  </r>
  <r>
    <s v="ORD0013"/>
    <s v="CUST023"/>
    <s v="PROD006"/>
    <x v="3"/>
    <n v="96"/>
    <n v="1"/>
    <n v="96"/>
    <x v="0"/>
    <x v="0"/>
    <s v="Amazon Logistics"/>
    <d v="2023-02-25T00:00:00"/>
    <m/>
    <d v="2023-02-28T00:00:00"/>
    <s v="yes"/>
    <s v="Fashion"/>
    <s v="na"/>
    <s v="Charlotte Reed"/>
    <s v="na"/>
    <x v="9"/>
  </r>
  <r>
    <s v="ORD0014"/>
    <s v="CUST033"/>
    <s v="PROD017"/>
    <x v="4"/>
    <n v="74"/>
    <n v="5"/>
    <n v="370"/>
    <x v="0"/>
    <x v="0"/>
    <s v="Amazon Logistics"/>
    <d v="2023-02-24T00:00:00"/>
    <m/>
    <d v="2023-02-25T00:00:00"/>
    <s v="yes"/>
    <s v="Electronics"/>
    <s v="na"/>
    <s v="Hazel Rivera"/>
    <s v="na"/>
    <x v="10"/>
  </r>
  <r>
    <s v="ORD0015"/>
    <s v="CUST033"/>
    <s v="PROD005"/>
    <x v="2"/>
    <n v="27"/>
    <n v="1"/>
    <n v="27"/>
    <x v="1"/>
    <x v="0"/>
    <s v="Amazon Logistics"/>
    <d v="2023-08-26T00:00:00"/>
    <m/>
    <d v="2023-09-02T00:00:00"/>
    <s v="yes"/>
    <s v="Fashion"/>
    <s v="na"/>
    <s v="Hazel Rivera"/>
    <s v="na"/>
    <x v="11"/>
  </r>
  <r>
    <s v="ORD0016"/>
    <s v="CUST047"/>
    <s v="PROD005"/>
    <x v="2"/>
    <n v="27"/>
    <n v="3"/>
    <n v="81"/>
    <x v="4"/>
    <x v="2"/>
    <s v="Amazon Logistics"/>
    <d v="2023-02-13T00:00:00"/>
    <m/>
    <m/>
    <s v="no"/>
    <s v="Fashion"/>
    <s v="na"/>
    <s v="Scarlett Murphy"/>
    <s v="na"/>
    <x v="11"/>
  </r>
  <r>
    <s v="ORD0017"/>
    <s v="CUST045"/>
    <s v="PROD015"/>
    <x v="1"/>
    <n v="21"/>
    <n v="3"/>
    <n v="63"/>
    <x v="1"/>
    <x v="1"/>
    <s v="DHL"/>
    <d v="2023-06-28T00:00:00"/>
    <d v="2023-07-01T00:00:00"/>
    <m/>
    <s v="no"/>
    <s v="Books"/>
    <n v="3"/>
    <s v="Emily Johnson"/>
    <s v="slow"/>
    <x v="12"/>
  </r>
  <r>
    <s v="ORD0018"/>
    <s v="CUST011"/>
    <s v="PROD008"/>
    <x v="4"/>
    <n v="70"/>
    <n v="5"/>
    <n v="350"/>
    <x v="2"/>
    <x v="2"/>
    <s v="Amazon Logistics"/>
    <d v="2023-11-28T00:00:00"/>
    <m/>
    <m/>
    <s v="no"/>
    <s v="Books"/>
    <s v="na"/>
    <s v="Mason Hall"/>
    <s v="na"/>
    <x v="13"/>
  </r>
  <r>
    <s v="ORD0019"/>
    <s v="CUST041"/>
    <s v="PROD006"/>
    <x v="2"/>
    <n v="94"/>
    <n v="4"/>
    <n v="376"/>
    <x v="1"/>
    <x v="2"/>
    <s v="USPS"/>
    <d v="2023-08-25T00:00:00"/>
    <m/>
    <m/>
    <s v="no"/>
    <s v="Fashion"/>
    <s v="na"/>
    <s v="Jacob Price"/>
    <s v="na"/>
    <x v="9"/>
  </r>
  <r>
    <s v="ORD0020"/>
    <s v="CUST025"/>
    <s v="PROD001"/>
    <x v="0"/>
    <n v="813"/>
    <n v="2"/>
    <n v="1626"/>
    <x v="1"/>
    <x v="2"/>
    <s v="FedEx"/>
    <d v="2023-04-12T00:00:00"/>
    <m/>
    <m/>
    <s v="no"/>
    <s v="Electronics"/>
    <s v="na"/>
    <s v="Emma King"/>
    <s v="na"/>
    <x v="14"/>
  </r>
  <r>
    <s v="ORD0021"/>
    <s v="CUST013"/>
    <s v="PROD015"/>
    <x v="3"/>
    <n v="21"/>
    <n v="4"/>
    <n v="84"/>
    <x v="2"/>
    <x v="2"/>
    <s v="Amazon Logistics"/>
    <d v="2023-10-02T00:00:00"/>
    <m/>
    <m/>
    <s v="no"/>
    <s v="Books"/>
    <s v="na"/>
    <s v="Olivia Martinez"/>
    <s v="na"/>
    <x v="12"/>
  </r>
  <r>
    <s v="ORD0022"/>
    <s v="CUST023"/>
    <s v="PROD012"/>
    <x v="4"/>
    <n v="46"/>
    <n v="5"/>
    <n v="230"/>
    <x v="2"/>
    <x v="2"/>
    <s v="USPS"/>
    <d v="2023-11-09T00:00:00"/>
    <m/>
    <m/>
    <s v="no"/>
    <s v="Home"/>
    <s v="na"/>
    <s v="Charlotte Reed"/>
    <s v="na"/>
    <x v="0"/>
  </r>
  <r>
    <s v="ORD0023"/>
    <s v="CUST016"/>
    <s v="PROD010"/>
    <x v="4"/>
    <n v="58"/>
    <n v="3"/>
    <n v="174"/>
    <x v="3"/>
    <x v="0"/>
    <s v="Amazon Logistics"/>
    <d v="2023-02-13T00:00:00"/>
    <m/>
    <d v="2023-02-14T00:00:00"/>
    <s v="yes"/>
    <s v="Fashion"/>
    <s v="na"/>
    <s v="Elijah Lewis"/>
    <s v="na"/>
    <x v="3"/>
  </r>
  <r>
    <s v="ORD0024"/>
    <s v="CUST028"/>
    <s v="PROD006"/>
    <x v="4"/>
    <n v="96"/>
    <n v="5"/>
    <n v="480"/>
    <x v="3"/>
    <x v="1"/>
    <s v="Amazon Logistics"/>
    <d v="2023-11-02T00:00:00"/>
    <d v="2023-11-05T00:00:00"/>
    <m/>
    <s v="no"/>
    <s v="Fashion"/>
    <n v="3"/>
    <s v="Lily Bennett"/>
    <s v="slow"/>
    <x v="9"/>
  </r>
  <r>
    <s v="ORD0025"/>
    <s v="CUST040"/>
    <s v="PROD002"/>
    <x v="2"/>
    <n v="43"/>
    <n v="1"/>
    <n v="43"/>
    <x v="4"/>
    <x v="1"/>
    <s v="Amazon Logistics"/>
    <d v="2023-05-28T00:00:00"/>
    <d v="2023-05-30T00:00:00"/>
    <m/>
    <s v="no"/>
    <s v="Toys"/>
    <n v="2"/>
    <s v="Benjamin Clark"/>
    <s v="fast"/>
    <x v="15"/>
  </r>
  <r>
    <s v="ORD0026"/>
    <s v="CUST027"/>
    <s v="PROD022"/>
    <x v="2"/>
    <n v="64"/>
    <n v="4"/>
    <n v="256"/>
    <x v="4"/>
    <x v="1"/>
    <s v="USPS"/>
    <d v="2023-10-15T00:00:00"/>
    <d v="2023-10-21T00:00:00"/>
    <m/>
    <s v="no"/>
    <s v="Fashion"/>
    <n v="6"/>
    <s v="Hazel Brooks"/>
    <s v="slow"/>
    <x v="16"/>
  </r>
  <r>
    <s v="ORD0027"/>
    <s v="CUST018"/>
    <s v="PROD008"/>
    <x v="2"/>
    <n v="70"/>
    <n v="2"/>
    <n v="140"/>
    <x v="3"/>
    <x v="2"/>
    <s v="Amazon Logistics"/>
    <d v="2023-01-16T00:00:00"/>
    <m/>
    <m/>
    <s v="no"/>
    <s v="Books"/>
    <s v="na"/>
    <s v="Grace Scott"/>
    <s v="na"/>
    <x v="13"/>
  </r>
  <r>
    <s v="ORD0028"/>
    <s v="CUST018"/>
    <s v="PROD018"/>
    <x v="3"/>
    <n v="97"/>
    <n v="3"/>
    <n v="291"/>
    <x v="1"/>
    <x v="2"/>
    <s v="Amazon Logistics"/>
    <d v="2023-10-09T00:00:00"/>
    <m/>
    <m/>
    <s v="no"/>
    <s v="Toys"/>
    <s v="na"/>
    <s v="Grace Scott"/>
    <s v="na"/>
    <x v="1"/>
  </r>
  <r>
    <s v="ORD0029"/>
    <s v="CUST007"/>
    <s v="PROD021"/>
    <x v="1"/>
    <n v="37"/>
    <n v="3"/>
    <n v="111"/>
    <x v="0"/>
    <x v="0"/>
    <s v="DHL"/>
    <d v="2023-10-07T00:00:00"/>
    <m/>
    <d v="2023-10-10T00:00:00"/>
    <s v="yes"/>
    <s v="Home"/>
    <s v="na"/>
    <s v="Liam Walker"/>
    <s v="na"/>
    <x v="5"/>
  </r>
  <r>
    <s v="ORD0030"/>
    <s v="CUST008"/>
    <s v="PROD008"/>
    <x v="0"/>
    <n v="69"/>
    <n v="5"/>
    <n v="345"/>
    <x v="3"/>
    <x v="2"/>
    <s v="Amazon Logistics"/>
    <d v="2023-02-14T00:00:00"/>
    <m/>
    <m/>
    <s v="no"/>
    <s v="Books"/>
    <s v="na"/>
    <s v="Harper Young"/>
    <s v="na"/>
    <x v="13"/>
  </r>
  <r>
    <s v="ORD0031"/>
    <s v="CUST014"/>
    <s v="PROD002"/>
    <x v="0"/>
    <n v="42"/>
    <n v="5"/>
    <n v="210"/>
    <x v="3"/>
    <x v="2"/>
    <s v="UPS"/>
    <d v="2023-03-26T00:00:00"/>
    <m/>
    <m/>
    <s v="no"/>
    <s v="Toys"/>
    <s v="na"/>
    <s v="Harper Young"/>
    <s v="na"/>
    <x v="15"/>
  </r>
  <r>
    <s v="ORD0032"/>
    <s v="CUST037"/>
    <s v="PROD009"/>
    <x v="1"/>
    <n v="11"/>
    <n v="5"/>
    <n v="55"/>
    <x v="4"/>
    <x v="0"/>
    <s v="FedEx"/>
    <d v="2023-06-15T00:00:00"/>
    <m/>
    <d v="2023-06-22T00:00:00"/>
    <s v="yes"/>
    <s v="Books"/>
    <s v="na"/>
    <s v="Emily Johnson"/>
    <s v="na"/>
    <x v="17"/>
  </r>
  <r>
    <s v="ORD0033"/>
    <s v="CUST016"/>
    <s v="PROD005"/>
    <x v="2"/>
    <n v="27"/>
    <n v="2"/>
    <n v="54"/>
    <x v="0"/>
    <x v="1"/>
    <s v="USPS"/>
    <d v="2023-05-22T00:00:00"/>
    <d v="2023-05-23T00:00:00"/>
    <m/>
    <s v="no"/>
    <s v="Fashion"/>
    <n v="1"/>
    <s v="Elijah Lewis"/>
    <s v="fast"/>
    <x v="11"/>
  </r>
  <r>
    <s v="ORD0034"/>
    <s v="CUST025"/>
    <s v="PROD015"/>
    <x v="2"/>
    <n v="21"/>
    <n v="1"/>
    <n v="21"/>
    <x v="3"/>
    <x v="2"/>
    <s v="DHL"/>
    <d v="2023-11-20T00:00:00"/>
    <m/>
    <m/>
    <s v="no"/>
    <s v="Books"/>
    <s v="na"/>
    <s v="Emma King"/>
    <s v="na"/>
    <x v="12"/>
  </r>
  <r>
    <s v="ORD0035"/>
    <s v="CUST032"/>
    <s v="PROD011"/>
    <x v="2"/>
    <n v="172"/>
    <n v="1"/>
    <n v="172"/>
    <x v="2"/>
    <x v="1"/>
    <s v="USPS"/>
    <d v="2023-12-22T00:00:00"/>
    <d v="2023-12-26T00:00:00"/>
    <m/>
    <s v="no"/>
    <s v="Electronics"/>
    <n v="4"/>
    <s v="Luke Gray"/>
    <s v="slow"/>
    <x v="18"/>
  </r>
  <r>
    <s v="ORD0036"/>
    <s v="CUST014"/>
    <s v="PROD016"/>
    <x v="0"/>
    <n v="212"/>
    <n v="3"/>
    <n v="636"/>
    <x v="3"/>
    <x v="2"/>
    <s v="UPS"/>
    <d v="2023-07-23T00:00:00"/>
    <m/>
    <m/>
    <s v="no"/>
    <s v="Home"/>
    <s v="na"/>
    <s v="Harper Young"/>
    <s v="na"/>
    <x v="19"/>
  </r>
  <r>
    <s v="ORD0037"/>
    <s v="CUST044"/>
    <s v="PROD002"/>
    <x v="1"/>
    <n v="41"/>
    <n v="4"/>
    <n v="164"/>
    <x v="1"/>
    <x v="1"/>
    <s v="Amazon Logistics"/>
    <d v="2023-10-17T00:00:00"/>
    <d v="2023-10-22T00:00:00"/>
    <m/>
    <s v="no"/>
    <s v="Toys"/>
    <n v="5"/>
    <s v="Grace Ward"/>
    <s v="slow"/>
    <x v="15"/>
  </r>
  <r>
    <s v="ORD0038"/>
    <s v="CUST028"/>
    <s v="PROD007"/>
    <x v="0"/>
    <n v="32"/>
    <n v="2"/>
    <n v="64"/>
    <x v="4"/>
    <x v="0"/>
    <s v="FedEx"/>
    <d v="2023-08-22T00:00:00"/>
    <m/>
    <d v="2023-08-24T00:00:00"/>
    <s v="yes"/>
    <s v="Toys"/>
    <s v="na"/>
    <s v="Lily Bennett"/>
    <s v="na"/>
    <x v="20"/>
  </r>
  <r>
    <s v="ORD0039"/>
    <s v="CUST024"/>
    <s v="PROD022"/>
    <x v="1"/>
    <n v="66"/>
    <n v="2"/>
    <n v="132"/>
    <x v="0"/>
    <x v="2"/>
    <s v="DHL"/>
    <d v="2023-12-02T00:00:00"/>
    <m/>
    <m/>
    <s v="no"/>
    <s v="Fashion"/>
    <s v="na"/>
    <s v="Scarlett Murphy"/>
    <s v="na"/>
    <x v="16"/>
  </r>
  <r>
    <s v="ORD0040"/>
    <s v="CUST006"/>
    <s v="PROD004"/>
    <x v="1"/>
    <n v="62"/>
    <n v="4"/>
    <n v="248"/>
    <x v="4"/>
    <x v="2"/>
    <s v="UPS"/>
    <d v="2023-12-25T00:00:00"/>
    <m/>
    <m/>
    <s v="no"/>
    <s v="Toys"/>
    <s v="na"/>
    <s v="Ava Robinson"/>
    <s v="na"/>
    <x v="21"/>
  </r>
  <r>
    <s v="ORD0041"/>
    <s v="CUST001"/>
    <s v="PROD011"/>
    <x v="4"/>
    <n v="173"/>
    <n v="4"/>
    <n v="692"/>
    <x v="0"/>
    <x v="1"/>
    <s v="UPS"/>
    <d v="2023-09-23T00:00:00"/>
    <d v="2023-09-30T00:00:00"/>
    <m/>
    <s v="no"/>
    <s v="Electronics"/>
    <n v="7"/>
    <s v="James Miller"/>
    <s v="slow"/>
    <x v="18"/>
  </r>
  <r>
    <s v="ORD0042"/>
    <s v="CUST007"/>
    <s v="PROD004"/>
    <x v="4"/>
    <n v="63"/>
    <n v="3"/>
    <n v="189"/>
    <x v="0"/>
    <x v="1"/>
    <s v="UPS"/>
    <d v="2023-07-16T00:00:00"/>
    <d v="2023-07-18T00:00:00"/>
    <m/>
    <s v="no"/>
    <s v="Toys"/>
    <n v="2"/>
    <s v="Liam Walker"/>
    <s v="fast"/>
    <x v="21"/>
  </r>
  <r>
    <s v="ORD0043"/>
    <s v="CUST040"/>
    <s v="PROD021"/>
    <x v="4"/>
    <n v="36"/>
    <n v="3"/>
    <n v="108"/>
    <x v="4"/>
    <x v="0"/>
    <s v="USPS"/>
    <d v="2023-02-05T00:00:00"/>
    <m/>
    <d v="2023-02-11T00:00:00"/>
    <s v="yes"/>
    <s v="Home"/>
    <s v="na"/>
    <s v="Benjamin Clark"/>
    <s v="na"/>
    <x v="5"/>
  </r>
  <r>
    <s v="ORD0044"/>
    <s v="CUST006"/>
    <s v="PROD004"/>
    <x v="3"/>
    <n v="62"/>
    <n v="1"/>
    <n v="62"/>
    <x v="0"/>
    <x v="0"/>
    <s v="Amazon Logistics"/>
    <d v="2023-12-18T00:00:00"/>
    <m/>
    <d v="2023-12-23T00:00:00"/>
    <s v="yes"/>
    <s v="Toys"/>
    <s v="na"/>
    <s v="Ava Robinson"/>
    <s v="na"/>
    <x v="21"/>
  </r>
  <r>
    <s v="ORD0045"/>
    <s v="CUST042"/>
    <s v="PROD003"/>
    <x v="3"/>
    <n v="137"/>
    <n v="5"/>
    <n v="685"/>
    <x v="3"/>
    <x v="0"/>
    <s v="FedEx"/>
    <d v="2023-06-11T00:00:00"/>
    <m/>
    <d v="2023-06-14T00:00:00"/>
    <s v="yes"/>
    <s v="Home"/>
    <s v="na"/>
    <s v="Noah Wilson"/>
    <s v="na"/>
    <x v="7"/>
  </r>
  <r>
    <s v="ORD0046"/>
    <s v="CUST039"/>
    <s v="PROD017"/>
    <x v="0"/>
    <n v="73"/>
    <n v="4"/>
    <n v="292"/>
    <x v="1"/>
    <x v="1"/>
    <s v="Amazon Logistics"/>
    <d v="2023-12-04T00:00:00"/>
    <d v="2023-12-08T00:00:00"/>
    <m/>
    <s v="no"/>
    <s v="Electronics"/>
    <n v="4"/>
    <s v="Logan Ramirez"/>
    <s v="slow"/>
    <x v="10"/>
  </r>
  <r>
    <s v="ORD0047"/>
    <s v="CUST041"/>
    <s v="PROD020"/>
    <x v="0"/>
    <n v="104"/>
    <n v="1"/>
    <n v="104"/>
    <x v="2"/>
    <x v="1"/>
    <s v="Amazon Logistics"/>
    <d v="2023-07-17T00:00:00"/>
    <d v="2023-07-19T00:00:00"/>
    <m/>
    <s v="no"/>
    <s v="Electronics"/>
    <n v="2"/>
    <s v="Jacob Price"/>
    <s v="fast"/>
    <x v="4"/>
  </r>
  <r>
    <s v="ORD0048"/>
    <s v="CUST044"/>
    <s v="PROD006"/>
    <x v="1"/>
    <n v="97"/>
    <n v="1"/>
    <n v="97"/>
    <x v="3"/>
    <x v="1"/>
    <s v="FedEx"/>
    <d v="2023-10-19T00:00:00"/>
    <d v="2023-10-24T00:00:00"/>
    <m/>
    <s v="no"/>
    <s v="Fashion"/>
    <n v="5"/>
    <s v="Grace Ward"/>
    <s v="slow"/>
    <x v="9"/>
  </r>
  <r>
    <s v="ORD0049"/>
    <s v="CUST026"/>
    <s v="PROD017"/>
    <x v="2"/>
    <n v="73"/>
    <n v="5"/>
    <n v="365"/>
    <x v="0"/>
    <x v="2"/>
    <s v="Amazon Logistics"/>
    <d v="2023-05-15T00:00:00"/>
    <m/>
    <m/>
    <s v="no"/>
    <s v="Electronics"/>
    <s v="na"/>
    <s v="Zoe Mitchell"/>
    <s v="na"/>
    <x v="10"/>
  </r>
  <r>
    <s v="ORD0050"/>
    <s v="CUST040"/>
    <s v="PROD005"/>
    <x v="1"/>
    <n v="27"/>
    <n v="3"/>
    <n v="81"/>
    <x v="3"/>
    <x v="1"/>
    <s v="UPS"/>
    <d v="2023-02-12T00:00:00"/>
    <d v="2023-02-19T00:00:00"/>
    <m/>
    <s v="no"/>
    <s v="Fashion"/>
    <n v="7"/>
    <s v="Benjamin Clark"/>
    <s v="slow"/>
    <x v="11"/>
  </r>
  <r>
    <s v="ORD0051"/>
    <s v="CUST041"/>
    <s v="PROD021"/>
    <x v="0"/>
    <n v="37"/>
    <n v="1"/>
    <n v="37"/>
    <x v="0"/>
    <x v="2"/>
    <s v="UPS"/>
    <d v="2023-10-02T00:00:00"/>
    <m/>
    <m/>
    <s v="no"/>
    <s v="Home"/>
    <s v="na"/>
    <s v="Jacob Price"/>
    <s v="na"/>
    <x v="5"/>
  </r>
  <r>
    <s v="ORD0052"/>
    <s v="CUST008"/>
    <s v="PROD015"/>
    <x v="0"/>
    <n v="22"/>
    <n v="1"/>
    <n v="22"/>
    <x v="4"/>
    <x v="1"/>
    <s v="FedEx"/>
    <d v="2023-01-30T00:00:00"/>
    <d v="2023-02-01T00:00:00"/>
    <m/>
    <s v="no"/>
    <s v="Books"/>
    <n v="2"/>
    <s v="Harper Young"/>
    <s v="fast"/>
    <x v="12"/>
  </r>
  <r>
    <s v="ORD0053"/>
    <s v="CUST011"/>
    <s v="PROD016"/>
    <x v="3"/>
    <n v="218"/>
    <n v="5"/>
    <n v="1090"/>
    <x v="2"/>
    <x v="1"/>
    <s v="DHL"/>
    <d v="2023-12-29T00:00:00"/>
    <d v="2024-01-01T00:00:00"/>
    <m/>
    <s v="no"/>
    <s v="Home"/>
    <n v="3"/>
    <s v="Mason Hall"/>
    <s v="slow"/>
    <x v="19"/>
  </r>
  <r>
    <s v="ORD0054"/>
    <s v="CUST018"/>
    <s v="PROD004"/>
    <x v="0"/>
    <n v="64"/>
    <n v="1"/>
    <n v="64"/>
    <x v="0"/>
    <x v="0"/>
    <s v="USPS"/>
    <d v="2023-03-06T00:00:00"/>
    <m/>
    <d v="2023-03-13T00:00:00"/>
    <s v="yes"/>
    <s v="Toys"/>
    <s v="na"/>
    <s v="Grace Scott"/>
    <s v="na"/>
    <x v="21"/>
  </r>
  <r>
    <s v="ORD0055"/>
    <s v="CUST037"/>
    <s v="PROD021"/>
    <x v="3"/>
    <n v="36"/>
    <n v="4"/>
    <n v="144"/>
    <x v="2"/>
    <x v="1"/>
    <s v="Amazon Logistics"/>
    <d v="2023-02-02T00:00:00"/>
    <d v="2023-02-06T00:00:00"/>
    <m/>
    <s v="no"/>
    <s v="Home"/>
    <n v="4"/>
    <s v="Emily Johnson"/>
    <s v="slow"/>
    <x v="5"/>
  </r>
  <r>
    <s v="ORD0056"/>
    <s v="CUST017"/>
    <s v="PROD004"/>
    <x v="4"/>
    <n v="65"/>
    <n v="1"/>
    <n v="65"/>
    <x v="3"/>
    <x v="1"/>
    <s v="FedEx"/>
    <d v="2023-10-18T00:00:00"/>
    <d v="2023-10-21T00:00:00"/>
    <m/>
    <s v="no"/>
    <s v="Toys"/>
    <n v="3"/>
    <s v="Emma King"/>
    <s v="slow"/>
    <x v="21"/>
  </r>
  <r>
    <s v="ORD0057"/>
    <s v="CUST025"/>
    <s v="PROD005"/>
    <x v="3"/>
    <n v="26"/>
    <n v="1"/>
    <n v="26"/>
    <x v="0"/>
    <x v="1"/>
    <s v="DHL"/>
    <d v="2023-01-07T00:00:00"/>
    <d v="2023-01-09T00:00:00"/>
    <m/>
    <s v="no"/>
    <s v="Fashion"/>
    <n v="2"/>
    <s v="Emma King"/>
    <s v="fast"/>
    <x v="11"/>
  </r>
  <r>
    <s v="ORD0058"/>
    <s v="CUST021"/>
    <s v="PROD009"/>
    <x v="0"/>
    <n v="11"/>
    <n v="5"/>
    <n v="55"/>
    <x v="1"/>
    <x v="2"/>
    <s v="FedEx"/>
    <d v="2023-05-08T00:00:00"/>
    <m/>
    <m/>
    <s v="no"/>
    <s v="Books"/>
    <s v="na"/>
    <s v="Zoe Mitchell"/>
    <s v="na"/>
    <x v="17"/>
  </r>
  <r>
    <s v="ORD0059"/>
    <s v="CUST003"/>
    <s v="PROD013"/>
    <x v="0"/>
    <n v="195"/>
    <n v="4"/>
    <n v="780"/>
    <x v="2"/>
    <x v="0"/>
    <s v="FedEx"/>
    <d v="2023-04-02T00:00:00"/>
    <m/>
    <d v="2023-04-05T00:00:00"/>
    <s v="yes"/>
    <s v="Home"/>
    <s v="na"/>
    <s v="Ethan Davis"/>
    <s v="na"/>
    <x v="2"/>
  </r>
  <r>
    <s v="ORD0060"/>
    <s v="CUST019"/>
    <s v="PROD019"/>
    <x v="4"/>
    <n v="44"/>
    <n v="5"/>
    <n v="220"/>
    <x v="0"/>
    <x v="0"/>
    <s v="USPS"/>
    <d v="2023-10-11T00:00:00"/>
    <m/>
    <d v="2023-10-12T00:00:00"/>
    <s v="yes"/>
    <s v="Fashion"/>
    <s v="na"/>
    <s v="Ava Robinson"/>
    <s v="na"/>
    <x v="6"/>
  </r>
  <r>
    <s v="ORD0061"/>
    <s v="CUST035"/>
    <s v="PROD008"/>
    <x v="1"/>
    <n v="69"/>
    <n v="4"/>
    <n v="276"/>
    <x v="4"/>
    <x v="2"/>
    <s v="DHL"/>
    <d v="2023-09-10T00:00:00"/>
    <m/>
    <m/>
    <s v="no"/>
    <s v="Books"/>
    <s v="na"/>
    <s v="Scarlett Adams"/>
    <s v="na"/>
    <x v="13"/>
  </r>
  <r>
    <s v="ORD0062"/>
    <s v="CUST022"/>
    <s v="PROD001"/>
    <x v="0"/>
    <n v="815"/>
    <n v="4"/>
    <n v="3260"/>
    <x v="1"/>
    <x v="1"/>
    <s v="USPS"/>
    <d v="2023-11-22T00:00:00"/>
    <d v="2023-11-29T00:00:00"/>
    <m/>
    <s v="no"/>
    <s v="Electronics"/>
    <n v="7"/>
    <s v="Elijah Lewis"/>
    <s v="slow"/>
    <x v="14"/>
  </r>
  <r>
    <s v="ORD0063"/>
    <s v="CUST004"/>
    <s v="PROD005"/>
    <x v="1"/>
    <n v="27"/>
    <n v="1"/>
    <n v="27"/>
    <x v="4"/>
    <x v="2"/>
    <s v="Amazon Logistics"/>
    <d v="2023-05-02T00:00:00"/>
    <m/>
    <m/>
    <s v="no"/>
    <s v="Fashion"/>
    <s v="na"/>
    <s v="Noah Wilson"/>
    <s v="na"/>
    <x v="11"/>
  </r>
  <r>
    <s v="ORD0064"/>
    <s v="CUST048"/>
    <s v="PROD003"/>
    <x v="4"/>
    <n v="139"/>
    <n v="5"/>
    <n v="695"/>
    <x v="0"/>
    <x v="1"/>
    <s v="USPS"/>
    <d v="2023-12-25T00:00:00"/>
    <d v="2023-12-29T00:00:00"/>
    <m/>
    <s v="no"/>
    <s v="Home"/>
    <n v="4"/>
    <s v="Noah Wilson"/>
    <s v="slow"/>
    <x v="7"/>
  </r>
  <r>
    <s v="ORD0065"/>
    <s v="CUST009"/>
    <s v="PROD008"/>
    <x v="2"/>
    <n v="69"/>
    <n v="3"/>
    <n v="207"/>
    <x v="2"/>
    <x v="0"/>
    <s v="Amazon Logistics"/>
    <d v="2023-10-18T00:00:00"/>
    <m/>
    <d v="2023-10-20T00:00:00"/>
    <s v="yes"/>
    <s v="Books"/>
    <s v="na"/>
    <s v="Jackson Allen"/>
    <s v="na"/>
    <x v="13"/>
  </r>
  <r>
    <s v="ORD0066"/>
    <s v="CUST009"/>
    <s v="PROD019"/>
    <x v="4"/>
    <n v="42"/>
    <n v="1"/>
    <n v="42"/>
    <x v="0"/>
    <x v="0"/>
    <s v="DHL"/>
    <d v="2023-05-20T00:00:00"/>
    <m/>
    <d v="2023-05-21T00:00:00"/>
    <s v="yes"/>
    <s v="Fashion"/>
    <s v="na"/>
    <s v="Jackson Allen"/>
    <s v="na"/>
    <x v="6"/>
  </r>
  <r>
    <s v="ORD0067"/>
    <s v="CUST050"/>
    <s v="PROD007"/>
    <x v="0"/>
    <n v="31"/>
    <n v="4"/>
    <n v="124"/>
    <x v="1"/>
    <x v="1"/>
    <s v="UPS"/>
    <d v="2023-07-28T00:00:00"/>
    <d v="2023-07-30T00:00:00"/>
    <m/>
    <s v="no"/>
    <s v="Toys"/>
    <n v="2"/>
    <s v="not found"/>
    <s v="fast"/>
    <x v="20"/>
  </r>
  <r>
    <s v="ORD0068"/>
    <s v="CUST045"/>
    <s v="PROD020"/>
    <x v="4"/>
    <n v="104"/>
    <n v="3"/>
    <n v="312"/>
    <x v="1"/>
    <x v="2"/>
    <s v="UPS"/>
    <d v="2023-12-18T00:00:00"/>
    <m/>
    <m/>
    <s v="no"/>
    <s v="Electronics"/>
    <s v="na"/>
    <s v="Emily Johnson"/>
    <s v="na"/>
    <x v="4"/>
  </r>
  <r>
    <s v="ORD0069"/>
    <s v="CUST044"/>
    <s v="PROD010"/>
    <x v="1"/>
    <n v="58"/>
    <n v="2"/>
    <n v="116"/>
    <x v="0"/>
    <x v="0"/>
    <s v="USPS"/>
    <d v="2023-07-02T00:00:00"/>
    <m/>
    <d v="2023-07-07T00:00:00"/>
    <s v="yes"/>
    <s v="Fashion"/>
    <s v="na"/>
    <s v="Grace Ward"/>
    <s v="na"/>
    <x v="3"/>
  </r>
  <r>
    <s v="ORD0070"/>
    <s v="CUST009"/>
    <s v="PROD004"/>
    <x v="4"/>
    <n v="62"/>
    <n v="2"/>
    <n v="124"/>
    <x v="4"/>
    <x v="0"/>
    <s v="DHL"/>
    <d v="2023-10-09T00:00:00"/>
    <m/>
    <d v="2023-10-10T00:00:00"/>
    <s v="yes"/>
    <s v="Toys"/>
    <s v="na"/>
    <s v="Jackson Allen"/>
    <s v="na"/>
    <x v="21"/>
  </r>
  <r>
    <s v="ORD0071"/>
    <s v="CUST006"/>
    <s v="PROD019"/>
    <x v="1"/>
    <n v="43"/>
    <n v="1"/>
    <n v="43"/>
    <x v="1"/>
    <x v="1"/>
    <s v="Amazon Logistics"/>
    <d v="2023-12-18T00:00:00"/>
    <d v="2023-12-25T00:00:00"/>
    <m/>
    <s v="no"/>
    <s v="Fashion"/>
    <n v="7"/>
    <s v="Ava Robinson"/>
    <s v="slow"/>
    <x v="6"/>
  </r>
  <r>
    <s v="ORD0072"/>
    <s v="CUST022"/>
    <s v="PROD004"/>
    <x v="1"/>
    <n v="62"/>
    <n v="4"/>
    <n v="248"/>
    <x v="4"/>
    <x v="2"/>
    <s v="Amazon Logistics"/>
    <d v="2023-03-07T00:00:00"/>
    <m/>
    <m/>
    <s v="no"/>
    <s v="Toys"/>
    <s v="na"/>
    <s v="Elijah Lewis"/>
    <s v="na"/>
    <x v="21"/>
  </r>
  <r>
    <s v="ORD0073"/>
    <s v="CUST028"/>
    <s v="PROD006"/>
    <x v="0"/>
    <n v="95"/>
    <n v="2"/>
    <n v="190"/>
    <x v="2"/>
    <x v="0"/>
    <s v="UPS"/>
    <d v="2023-07-22T00:00:00"/>
    <m/>
    <d v="2023-07-25T00:00:00"/>
    <s v="yes"/>
    <s v="Fashion"/>
    <s v="na"/>
    <s v="Lily Bennett"/>
    <s v="na"/>
    <x v="9"/>
  </r>
  <r>
    <s v="ORD0074"/>
    <s v="CUST016"/>
    <s v="PROD021"/>
    <x v="3"/>
    <n v="36"/>
    <n v="4"/>
    <n v="144"/>
    <x v="0"/>
    <x v="1"/>
    <s v="FedEx"/>
    <d v="2023-01-18T00:00:00"/>
    <d v="2023-01-24T00:00:00"/>
    <m/>
    <s v="no"/>
    <s v="Home"/>
    <n v="6"/>
    <s v="Elijah Lewis"/>
    <s v="slow"/>
    <x v="5"/>
  </r>
  <r>
    <s v="ORD0075"/>
    <s v="CUST042"/>
    <s v="PROD017"/>
    <x v="1"/>
    <n v="73"/>
    <n v="5"/>
    <n v="365"/>
    <x v="0"/>
    <x v="2"/>
    <s v="DHL"/>
    <d v="2023-05-24T00:00:00"/>
    <m/>
    <m/>
    <s v="no"/>
    <s v="Electronics"/>
    <s v="na"/>
    <s v="Noah Wilson"/>
    <s v="na"/>
    <x v="10"/>
  </r>
  <r>
    <s v="ORD0076"/>
    <s v="CUST023"/>
    <s v="PROD019"/>
    <x v="0"/>
    <n v="43"/>
    <n v="4"/>
    <n v="172"/>
    <x v="4"/>
    <x v="1"/>
    <s v="DHL"/>
    <d v="2023-09-03T00:00:00"/>
    <d v="2023-09-09T00:00:00"/>
    <m/>
    <s v="no"/>
    <s v="Fashion"/>
    <n v="6"/>
    <s v="Charlotte Reed"/>
    <s v="slow"/>
    <x v="6"/>
  </r>
  <r>
    <s v="ORD0077"/>
    <s v="CUST004"/>
    <s v="PROD016"/>
    <x v="4"/>
    <n v="214"/>
    <n v="5"/>
    <n v="1070"/>
    <x v="4"/>
    <x v="1"/>
    <s v="UPS"/>
    <d v="2023-11-02T00:00:00"/>
    <d v="2023-11-04T00:00:00"/>
    <m/>
    <s v="no"/>
    <s v="Home"/>
    <n v="2"/>
    <s v="Noah Wilson"/>
    <s v="fast"/>
    <x v="19"/>
  </r>
  <r>
    <s v="ORD0078"/>
    <s v="CUST048"/>
    <s v="PROD002"/>
    <x v="3"/>
    <n v="42"/>
    <n v="2"/>
    <n v="84"/>
    <x v="0"/>
    <x v="0"/>
    <s v="UPS"/>
    <d v="2023-12-03T00:00:00"/>
    <m/>
    <d v="2023-12-06T00:00:00"/>
    <s v="yes"/>
    <s v="Toys"/>
    <s v="na"/>
    <s v="Noah Wilson"/>
    <s v="na"/>
    <x v="15"/>
  </r>
  <r>
    <s v="ORD0079"/>
    <s v="CUST048"/>
    <s v="PROD012"/>
    <x v="0"/>
    <n v="46"/>
    <n v="1"/>
    <n v="46"/>
    <x v="3"/>
    <x v="2"/>
    <s v="UPS"/>
    <d v="2023-04-01T00:00:00"/>
    <m/>
    <m/>
    <s v="no"/>
    <s v="Home"/>
    <s v="na"/>
    <s v="Noah Wilson"/>
    <s v="na"/>
    <x v="0"/>
  </r>
  <r>
    <s v="ORD0080"/>
    <s v="CUST032"/>
    <s v="PROD018"/>
    <x v="1"/>
    <n v="95"/>
    <n v="4"/>
    <n v="380"/>
    <x v="1"/>
    <x v="1"/>
    <s v="UPS"/>
    <d v="2023-10-16T00:00:00"/>
    <d v="2023-10-19T00:00:00"/>
    <m/>
    <s v="no"/>
    <s v="Toys"/>
    <n v="3"/>
    <s v="Luke Gray"/>
    <s v="slow"/>
    <x v="1"/>
  </r>
  <r>
    <s v="ORD0081"/>
    <s v="CUST001"/>
    <s v="PROD011"/>
    <x v="4"/>
    <n v="174"/>
    <n v="2"/>
    <n v="348"/>
    <x v="2"/>
    <x v="2"/>
    <s v="UPS"/>
    <d v="2023-11-05T00:00:00"/>
    <m/>
    <m/>
    <s v="no"/>
    <s v="Electronics"/>
    <s v="na"/>
    <s v="James Miller"/>
    <s v="na"/>
    <x v="18"/>
  </r>
  <r>
    <s v="ORD0082"/>
    <s v="CUST046"/>
    <s v="PROD005"/>
    <x v="0"/>
    <n v="27"/>
    <n v="5"/>
    <n v="135"/>
    <x v="1"/>
    <x v="0"/>
    <s v="Amazon Logistics"/>
    <d v="2023-06-15T00:00:00"/>
    <m/>
    <d v="2023-06-18T00:00:00"/>
    <s v="yes"/>
    <s v="Fashion"/>
    <s v="na"/>
    <s v="Emily Johnson"/>
    <s v="na"/>
    <x v="11"/>
  </r>
  <r>
    <s v="ORD0083"/>
    <s v="CUST021"/>
    <s v="PROD005"/>
    <x v="2"/>
    <n v="27"/>
    <n v="4"/>
    <n v="108"/>
    <x v="2"/>
    <x v="1"/>
    <s v="USPS"/>
    <d v="2023-10-28T00:00:00"/>
    <d v="2023-10-30T00:00:00"/>
    <m/>
    <s v="no"/>
    <s v="Fashion"/>
    <n v="2"/>
    <s v="Zoe Mitchell"/>
    <s v="fast"/>
    <x v="11"/>
  </r>
  <r>
    <s v="ORD0084"/>
    <s v="CUST015"/>
    <s v="PROD022"/>
    <x v="2"/>
    <n v="65"/>
    <n v="2"/>
    <n v="130"/>
    <x v="2"/>
    <x v="2"/>
    <s v="DHL"/>
    <d v="2023-12-22T00:00:00"/>
    <m/>
    <m/>
    <s v="no"/>
    <s v="Fashion"/>
    <s v="na"/>
    <s v="Ava White"/>
    <s v="na"/>
    <x v="16"/>
  </r>
  <r>
    <s v="ORD0085"/>
    <s v="CUST045"/>
    <s v="PROD019"/>
    <x v="1"/>
    <n v="43"/>
    <n v="5"/>
    <n v="215"/>
    <x v="4"/>
    <x v="2"/>
    <s v="DHL"/>
    <d v="2023-03-07T00:00:00"/>
    <m/>
    <m/>
    <s v="no"/>
    <s v="Fashion"/>
    <s v="na"/>
    <s v="Emily Johnson"/>
    <s v="na"/>
    <x v="6"/>
  </r>
  <r>
    <s v="ORD0086"/>
    <s v="CUST007"/>
    <s v="PROD016"/>
    <x v="4"/>
    <n v="210"/>
    <n v="1"/>
    <n v="210"/>
    <x v="2"/>
    <x v="2"/>
    <s v="UPS"/>
    <d v="2023-11-10T00:00:00"/>
    <m/>
    <m/>
    <s v="no"/>
    <s v="Home"/>
    <s v="na"/>
    <s v="Liam Walker"/>
    <s v="na"/>
    <x v="19"/>
  </r>
  <r>
    <s v="ORD0087"/>
    <s v="CUST043"/>
    <s v="PROD021"/>
    <x v="2"/>
    <n v="37"/>
    <n v="3"/>
    <n v="111"/>
    <x v="1"/>
    <x v="2"/>
    <s v="UPS"/>
    <d v="2023-11-22T00:00:00"/>
    <m/>
    <m/>
    <s v="no"/>
    <s v="Home"/>
    <s v="na"/>
    <s v="Lily Reed"/>
    <s v="na"/>
    <x v="5"/>
  </r>
  <r>
    <s v="ORD0088"/>
    <s v="CUST007"/>
    <s v="PROD001"/>
    <x v="2"/>
    <n v="788"/>
    <n v="4"/>
    <n v="3152"/>
    <x v="4"/>
    <x v="2"/>
    <s v="Amazon Logistics"/>
    <d v="2023-05-08T00:00:00"/>
    <m/>
    <m/>
    <s v="no"/>
    <s v="Electronics"/>
    <s v="na"/>
    <s v="Liam Walker"/>
    <s v="na"/>
    <x v="14"/>
  </r>
  <r>
    <s v="ORD0089"/>
    <s v="CUST007"/>
    <s v="PROD016"/>
    <x v="4"/>
    <n v="217"/>
    <n v="5"/>
    <n v="1085"/>
    <x v="4"/>
    <x v="2"/>
    <s v="FedEx"/>
    <d v="2023-07-13T00:00:00"/>
    <m/>
    <m/>
    <s v="no"/>
    <s v="Home"/>
    <s v="na"/>
    <s v="Liam Walker"/>
    <s v="na"/>
    <x v="19"/>
  </r>
  <r>
    <s v="ORD0090"/>
    <s v="CUST007"/>
    <s v="PROD003"/>
    <x v="4"/>
    <n v="138"/>
    <n v="4"/>
    <n v="552"/>
    <x v="1"/>
    <x v="2"/>
    <s v="FedEx"/>
    <d v="2023-01-18T00:00:00"/>
    <m/>
    <m/>
    <s v="no"/>
    <s v="Home"/>
    <s v="na"/>
    <s v="Liam Walker"/>
    <s v="na"/>
    <x v="7"/>
  </r>
  <r>
    <s v="ORD0091"/>
    <s v="CUST031"/>
    <s v="PROD001"/>
    <x v="3"/>
    <n v="803"/>
    <n v="2"/>
    <n v="1606"/>
    <x v="0"/>
    <x v="1"/>
    <s v="FedEx"/>
    <d v="2023-06-23T00:00:00"/>
    <d v="2023-06-29T00:00:00"/>
    <m/>
    <s v="no"/>
    <s v="Electronics"/>
    <n v="6"/>
    <s v="Mason Collins"/>
    <s v="slow"/>
    <x v="14"/>
  </r>
  <r>
    <s v="ORD0092"/>
    <s v="CUST013"/>
    <s v="PROD014"/>
    <x v="0"/>
    <n v="248"/>
    <n v="5"/>
    <n v="1240"/>
    <x v="2"/>
    <x v="0"/>
    <s v="UPS"/>
    <d v="2023-02-21T00:00:00"/>
    <m/>
    <d v="2023-02-25T00:00:00"/>
    <s v="yes"/>
    <s v="Electronics"/>
    <s v="na"/>
    <s v="Olivia Martinez"/>
    <s v="na"/>
    <x v="8"/>
  </r>
  <r>
    <s v="ORD0093"/>
    <s v="CUST036"/>
    <s v="PROD016"/>
    <x v="1"/>
    <n v="210"/>
    <n v="3"/>
    <n v="630"/>
    <x v="0"/>
    <x v="1"/>
    <s v="DHL"/>
    <d v="2023-02-19T00:00:00"/>
    <d v="2023-02-21T00:00:00"/>
    <m/>
    <s v="no"/>
    <s v="Home"/>
    <n v="2"/>
    <s v="Ethan Davis"/>
    <s v="fast"/>
    <x v="19"/>
  </r>
  <r>
    <s v="ORD0094"/>
    <s v="CUST013"/>
    <s v="PROD004"/>
    <x v="0"/>
    <n v="62"/>
    <n v="2"/>
    <n v="124"/>
    <x v="1"/>
    <x v="0"/>
    <s v="FedEx"/>
    <d v="2023-12-05T00:00:00"/>
    <m/>
    <d v="2023-12-12T00:00:00"/>
    <s v="yes"/>
    <s v="Toys"/>
    <s v="na"/>
    <s v="Olivia Martinez"/>
    <s v="na"/>
    <x v="21"/>
  </r>
  <r>
    <s v="ORD0095"/>
    <s v="CUST043"/>
    <s v="PROD009"/>
    <x v="2"/>
    <n v="11"/>
    <n v="5"/>
    <n v="55"/>
    <x v="4"/>
    <x v="0"/>
    <s v="Amazon Logistics"/>
    <d v="2023-06-07T00:00:00"/>
    <m/>
    <d v="2023-06-12T00:00:00"/>
    <s v="yes"/>
    <s v="Books"/>
    <s v="na"/>
    <s v="Lily Reed"/>
    <s v="na"/>
    <x v="17"/>
  </r>
  <r>
    <s v="ORD0096"/>
    <s v="CUST017"/>
    <s v="PROD015"/>
    <x v="0"/>
    <n v="21"/>
    <n v="2"/>
    <n v="42"/>
    <x v="3"/>
    <x v="1"/>
    <s v="UPS"/>
    <d v="2023-07-09T00:00:00"/>
    <d v="2023-07-12T00:00:00"/>
    <m/>
    <s v="no"/>
    <s v="Books"/>
    <n v="3"/>
    <s v="Emma King"/>
    <s v="slow"/>
    <x v="12"/>
  </r>
  <r>
    <s v="ORD0097"/>
    <s v="CUST023"/>
    <s v="PROD018"/>
    <x v="4"/>
    <n v="95"/>
    <n v="5"/>
    <n v="475"/>
    <x v="3"/>
    <x v="1"/>
    <s v="Amazon Logistics"/>
    <d v="2023-12-23T00:00:00"/>
    <d v="2023-12-26T00:00:00"/>
    <m/>
    <s v="no"/>
    <s v="Toys"/>
    <n v="3"/>
    <s v="Charlotte Reed"/>
    <s v="slow"/>
    <x v="1"/>
  </r>
  <r>
    <s v="ORD0098"/>
    <s v="CUST044"/>
    <s v="PROD016"/>
    <x v="2"/>
    <n v="215"/>
    <n v="2"/>
    <n v="430"/>
    <x v="2"/>
    <x v="1"/>
    <s v="Amazon Logistics"/>
    <d v="2023-09-25T00:00:00"/>
    <d v="2023-09-30T00:00:00"/>
    <m/>
    <s v="no"/>
    <s v="Home"/>
    <n v="5"/>
    <s v="Grace Ward"/>
    <s v="slow"/>
    <x v="19"/>
  </r>
  <r>
    <s v="ORD0099"/>
    <s v="CUST034"/>
    <s v="PROD019"/>
    <x v="4"/>
    <n v="43"/>
    <n v="5"/>
    <n v="215"/>
    <x v="1"/>
    <x v="0"/>
    <s v="UPS"/>
    <d v="2023-01-18T00:00:00"/>
    <m/>
    <d v="2023-01-24T00:00:00"/>
    <s v="yes"/>
    <s v="Fashion"/>
    <s v="na"/>
    <s v="Lily Simmons"/>
    <s v="na"/>
    <x v="6"/>
  </r>
  <r>
    <s v="ORD0100"/>
    <s v="CUST009"/>
    <s v="PROD002"/>
    <x v="4"/>
    <n v="42"/>
    <n v="4"/>
    <n v="168"/>
    <x v="4"/>
    <x v="2"/>
    <s v="DHL"/>
    <d v="2023-03-27T00:00:00"/>
    <m/>
    <m/>
    <s v="no"/>
    <s v="Toys"/>
    <s v="na"/>
    <s v="Jackson Allen"/>
    <s v="na"/>
    <x v="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x v="0"/>
    <n v="1"/>
    <x v="0"/>
    <x v="0"/>
    <x v="0"/>
    <s v="DHL"/>
    <d v="2023-12-31T00:00:00"/>
    <m/>
    <d v="2024-01-02T00:00:00"/>
    <s v="yes"/>
    <x v="0"/>
    <s v="na"/>
    <s v="Zoe Mitchell"/>
    <s v="na"/>
    <x v="0"/>
  </r>
  <r>
    <s v="ORD0002"/>
    <x v="1"/>
    <x v="1"/>
    <x v="1"/>
    <x v="1"/>
    <n v="4"/>
    <x v="1"/>
    <x v="1"/>
    <x v="1"/>
    <s v="DHL"/>
    <d v="2023-02-22T00:00:00"/>
    <d v="2023-02-24T00:00:00"/>
    <m/>
    <s v="no"/>
    <x v="1"/>
    <n v="2"/>
    <s v="Ava White"/>
    <s v="fast"/>
    <x v="1"/>
  </r>
  <r>
    <s v="ORD0003"/>
    <x v="0"/>
    <x v="2"/>
    <x v="2"/>
    <x v="2"/>
    <n v="4"/>
    <x v="2"/>
    <x v="1"/>
    <x v="2"/>
    <s v="USPS"/>
    <d v="2023-10-11T00:00:00"/>
    <m/>
    <m/>
    <s v="no"/>
    <x v="0"/>
    <s v="na"/>
    <s v="Zoe Mitchell"/>
    <s v="na"/>
    <x v="2"/>
  </r>
  <r>
    <s v="ORD0004"/>
    <x v="2"/>
    <x v="2"/>
    <x v="0"/>
    <x v="3"/>
    <n v="3"/>
    <x v="3"/>
    <x v="2"/>
    <x v="0"/>
    <s v="UPS"/>
    <d v="2023-05-05T00:00:00"/>
    <m/>
    <d v="2023-05-11T00:00:00"/>
    <s v="yes"/>
    <x v="0"/>
    <s v="na"/>
    <s v="Grace Ward"/>
    <s v="na"/>
    <x v="2"/>
  </r>
  <r>
    <s v="ORD0005"/>
    <x v="3"/>
    <x v="3"/>
    <x v="0"/>
    <x v="4"/>
    <n v="1"/>
    <x v="4"/>
    <x v="2"/>
    <x v="1"/>
    <s v="Amazon Logistics"/>
    <d v="2023-02-02T00:00:00"/>
    <d v="2023-02-05T00:00:00"/>
    <m/>
    <s v="no"/>
    <x v="2"/>
    <n v="3"/>
    <s v="Hazel Brooks"/>
    <s v="slow"/>
    <x v="3"/>
  </r>
  <r>
    <s v="ORD0006"/>
    <x v="4"/>
    <x v="3"/>
    <x v="0"/>
    <x v="5"/>
    <n v="4"/>
    <x v="5"/>
    <x v="3"/>
    <x v="0"/>
    <s v="DHL"/>
    <d v="2023-11-01T00:00:00"/>
    <m/>
    <d v="2023-11-02T00:00:00"/>
    <s v="yes"/>
    <x v="2"/>
    <s v="na"/>
    <s v="Jackson Allen"/>
    <s v="na"/>
    <x v="3"/>
  </r>
  <r>
    <s v="ORD0007"/>
    <x v="5"/>
    <x v="4"/>
    <x v="3"/>
    <x v="6"/>
    <n v="3"/>
    <x v="6"/>
    <x v="4"/>
    <x v="0"/>
    <s v="DHL"/>
    <d v="2023-08-14T00:00:00"/>
    <m/>
    <d v="2023-08-18T00:00:00"/>
    <s v="yes"/>
    <x v="3"/>
    <s v="na"/>
    <s v="Noah Wilson"/>
    <s v="na"/>
    <x v="4"/>
  </r>
  <r>
    <s v="ORD0008"/>
    <x v="6"/>
    <x v="5"/>
    <x v="4"/>
    <x v="7"/>
    <n v="5"/>
    <x v="7"/>
    <x v="2"/>
    <x v="0"/>
    <s v="DHL"/>
    <d v="2023-04-01T00:00:00"/>
    <m/>
    <d v="2023-04-06T00:00:00"/>
    <s v="yes"/>
    <x v="0"/>
    <s v="na"/>
    <s v="Ava Robinson"/>
    <s v="na"/>
    <x v="5"/>
  </r>
  <r>
    <s v="ORD0009"/>
    <x v="7"/>
    <x v="6"/>
    <x v="3"/>
    <x v="0"/>
    <n v="2"/>
    <x v="8"/>
    <x v="1"/>
    <x v="2"/>
    <s v="Amazon Logistics"/>
    <d v="2023-07-21T00:00:00"/>
    <m/>
    <m/>
    <s v="no"/>
    <x v="2"/>
    <s v="na"/>
    <s v="Olivia Martinez"/>
    <s v="na"/>
    <x v="6"/>
  </r>
  <r>
    <s v="ORD0010"/>
    <x v="6"/>
    <x v="7"/>
    <x v="2"/>
    <x v="8"/>
    <n v="4"/>
    <x v="9"/>
    <x v="4"/>
    <x v="2"/>
    <s v="DHL"/>
    <d v="2023-12-29T00:00:00"/>
    <m/>
    <m/>
    <s v="no"/>
    <x v="0"/>
    <s v="na"/>
    <s v="Ava Robinson"/>
    <s v="na"/>
    <x v="7"/>
  </r>
  <r>
    <s v="ORD0011"/>
    <x v="8"/>
    <x v="8"/>
    <x v="2"/>
    <x v="9"/>
    <n v="1"/>
    <x v="10"/>
    <x v="3"/>
    <x v="0"/>
    <s v="USPS"/>
    <d v="2023-05-04T00:00:00"/>
    <m/>
    <d v="2023-05-08T00:00:00"/>
    <s v="yes"/>
    <x v="3"/>
    <s v="na"/>
    <s v="Emily Johnson"/>
    <s v="na"/>
    <x v="8"/>
  </r>
  <r>
    <s v="ORD0012"/>
    <x v="9"/>
    <x v="8"/>
    <x v="3"/>
    <x v="10"/>
    <n v="3"/>
    <x v="11"/>
    <x v="3"/>
    <x v="2"/>
    <s v="FedEx"/>
    <d v="2023-07-25T00:00:00"/>
    <m/>
    <m/>
    <s v="no"/>
    <x v="3"/>
    <s v="na"/>
    <s v="Emily Johnson"/>
    <s v="na"/>
    <x v="8"/>
  </r>
  <r>
    <s v="ORD0013"/>
    <x v="10"/>
    <x v="9"/>
    <x v="3"/>
    <x v="1"/>
    <n v="1"/>
    <x v="12"/>
    <x v="0"/>
    <x v="0"/>
    <s v="Amazon Logistics"/>
    <d v="2023-02-25T00:00:00"/>
    <m/>
    <d v="2023-02-28T00:00:00"/>
    <s v="yes"/>
    <x v="2"/>
    <s v="na"/>
    <s v="Charlotte Reed"/>
    <s v="na"/>
    <x v="9"/>
  </r>
  <r>
    <s v="ORD0014"/>
    <x v="11"/>
    <x v="10"/>
    <x v="4"/>
    <x v="11"/>
    <n v="5"/>
    <x v="13"/>
    <x v="0"/>
    <x v="0"/>
    <s v="Amazon Logistics"/>
    <d v="2023-02-24T00:00:00"/>
    <m/>
    <d v="2023-02-25T00:00:00"/>
    <s v="yes"/>
    <x v="3"/>
    <s v="na"/>
    <s v="Hazel Rivera"/>
    <s v="na"/>
    <x v="10"/>
  </r>
  <r>
    <s v="ORD0015"/>
    <x v="11"/>
    <x v="11"/>
    <x v="2"/>
    <x v="12"/>
    <n v="1"/>
    <x v="14"/>
    <x v="1"/>
    <x v="0"/>
    <s v="Amazon Logistics"/>
    <d v="2023-08-26T00:00:00"/>
    <m/>
    <d v="2023-09-02T00:00:00"/>
    <s v="yes"/>
    <x v="2"/>
    <s v="na"/>
    <s v="Hazel Rivera"/>
    <s v="na"/>
    <x v="11"/>
  </r>
  <r>
    <s v="ORD0016"/>
    <x v="12"/>
    <x v="11"/>
    <x v="2"/>
    <x v="12"/>
    <n v="3"/>
    <x v="15"/>
    <x v="4"/>
    <x v="2"/>
    <s v="Amazon Logistics"/>
    <d v="2023-02-13T00:00:00"/>
    <m/>
    <m/>
    <s v="no"/>
    <x v="2"/>
    <s v="na"/>
    <s v="Scarlett Murphy"/>
    <s v="na"/>
    <x v="11"/>
  </r>
  <r>
    <s v="ORD0017"/>
    <x v="9"/>
    <x v="12"/>
    <x v="1"/>
    <x v="13"/>
    <n v="3"/>
    <x v="16"/>
    <x v="1"/>
    <x v="1"/>
    <s v="DHL"/>
    <d v="2023-06-28T00:00:00"/>
    <d v="2023-07-01T00:00:00"/>
    <m/>
    <s v="no"/>
    <x v="4"/>
    <n v="3"/>
    <s v="Emily Johnson"/>
    <s v="slow"/>
    <x v="12"/>
  </r>
  <r>
    <s v="ORD0018"/>
    <x v="13"/>
    <x v="13"/>
    <x v="4"/>
    <x v="14"/>
    <n v="5"/>
    <x v="17"/>
    <x v="2"/>
    <x v="2"/>
    <s v="Amazon Logistics"/>
    <d v="2023-11-28T00:00:00"/>
    <m/>
    <m/>
    <s v="no"/>
    <x v="4"/>
    <s v="na"/>
    <s v="Mason Hall"/>
    <s v="na"/>
    <x v="13"/>
  </r>
  <r>
    <s v="ORD0019"/>
    <x v="14"/>
    <x v="9"/>
    <x v="2"/>
    <x v="15"/>
    <n v="4"/>
    <x v="18"/>
    <x v="1"/>
    <x v="2"/>
    <s v="USPS"/>
    <d v="2023-08-25T00:00:00"/>
    <m/>
    <m/>
    <s v="no"/>
    <x v="2"/>
    <s v="na"/>
    <s v="Jacob Price"/>
    <s v="na"/>
    <x v="9"/>
  </r>
  <r>
    <s v="ORD0020"/>
    <x v="15"/>
    <x v="14"/>
    <x v="0"/>
    <x v="16"/>
    <n v="2"/>
    <x v="19"/>
    <x v="1"/>
    <x v="2"/>
    <s v="FedEx"/>
    <d v="2023-04-12T00:00:00"/>
    <m/>
    <m/>
    <s v="no"/>
    <x v="3"/>
    <s v="na"/>
    <s v="Emma King"/>
    <s v="na"/>
    <x v="14"/>
  </r>
  <r>
    <s v="ORD0021"/>
    <x v="7"/>
    <x v="12"/>
    <x v="3"/>
    <x v="13"/>
    <n v="4"/>
    <x v="20"/>
    <x v="2"/>
    <x v="2"/>
    <s v="Amazon Logistics"/>
    <d v="2023-10-02T00:00:00"/>
    <m/>
    <m/>
    <s v="no"/>
    <x v="4"/>
    <s v="na"/>
    <s v="Olivia Martinez"/>
    <s v="na"/>
    <x v="12"/>
  </r>
  <r>
    <s v="ORD0022"/>
    <x v="10"/>
    <x v="0"/>
    <x v="4"/>
    <x v="17"/>
    <n v="5"/>
    <x v="21"/>
    <x v="2"/>
    <x v="2"/>
    <s v="USPS"/>
    <d v="2023-11-09T00:00:00"/>
    <m/>
    <m/>
    <s v="no"/>
    <x v="0"/>
    <s v="na"/>
    <s v="Charlotte Reed"/>
    <s v="na"/>
    <x v="0"/>
  </r>
  <r>
    <s v="ORD0023"/>
    <x v="16"/>
    <x v="3"/>
    <x v="4"/>
    <x v="5"/>
    <n v="3"/>
    <x v="22"/>
    <x v="3"/>
    <x v="0"/>
    <s v="Amazon Logistics"/>
    <d v="2023-02-13T00:00:00"/>
    <m/>
    <d v="2023-02-14T00:00:00"/>
    <s v="yes"/>
    <x v="2"/>
    <s v="na"/>
    <s v="Elijah Lewis"/>
    <s v="na"/>
    <x v="3"/>
  </r>
  <r>
    <s v="ORD0024"/>
    <x v="17"/>
    <x v="9"/>
    <x v="4"/>
    <x v="1"/>
    <n v="5"/>
    <x v="23"/>
    <x v="3"/>
    <x v="1"/>
    <s v="Amazon Logistics"/>
    <d v="2023-11-02T00:00:00"/>
    <d v="2023-11-05T00:00:00"/>
    <m/>
    <s v="no"/>
    <x v="2"/>
    <n v="3"/>
    <s v="Lily Bennett"/>
    <s v="slow"/>
    <x v="9"/>
  </r>
  <r>
    <s v="ORD0025"/>
    <x v="18"/>
    <x v="15"/>
    <x v="2"/>
    <x v="18"/>
    <n v="1"/>
    <x v="24"/>
    <x v="4"/>
    <x v="1"/>
    <s v="Amazon Logistics"/>
    <d v="2023-05-28T00:00:00"/>
    <d v="2023-05-30T00:00:00"/>
    <m/>
    <s v="no"/>
    <x v="1"/>
    <n v="2"/>
    <s v="Benjamin Clark"/>
    <s v="fast"/>
    <x v="15"/>
  </r>
  <r>
    <s v="ORD0026"/>
    <x v="3"/>
    <x v="16"/>
    <x v="2"/>
    <x v="19"/>
    <n v="4"/>
    <x v="25"/>
    <x v="4"/>
    <x v="1"/>
    <s v="USPS"/>
    <d v="2023-10-15T00:00:00"/>
    <d v="2023-10-21T00:00:00"/>
    <m/>
    <s v="no"/>
    <x v="2"/>
    <n v="6"/>
    <s v="Hazel Brooks"/>
    <s v="slow"/>
    <x v="16"/>
  </r>
  <r>
    <s v="ORD0027"/>
    <x v="19"/>
    <x v="13"/>
    <x v="2"/>
    <x v="14"/>
    <n v="2"/>
    <x v="26"/>
    <x v="3"/>
    <x v="2"/>
    <s v="Amazon Logistics"/>
    <d v="2023-01-16T00:00:00"/>
    <m/>
    <m/>
    <s v="no"/>
    <x v="4"/>
    <s v="na"/>
    <s v="Grace Scott"/>
    <s v="na"/>
    <x v="13"/>
  </r>
  <r>
    <s v="ORD0028"/>
    <x v="19"/>
    <x v="1"/>
    <x v="3"/>
    <x v="20"/>
    <n v="3"/>
    <x v="27"/>
    <x v="1"/>
    <x v="2"/>
    <s v="Amazon Logistics"/>
    <d v="2023-10-09T00:00:00"/>
    <m/>
    <m/>
    <s v="no"/>
    <x v="1"/>
    <s v="na"/>
    <s v="Grace Scott"/>
    <s v="na"/>
    <x v="1"/>
  </r>
  <r>
    <s v="ORD0029"/>
    <x v="20"/>
    <x v="5"/>
    <x v="1"/>
    <x v="7"/>
    <n v="3"/>
    <x v="28"/>
    <x v="0"/>
    <x v="0"/>
    <s v="DHL"/>
    <d v="2023-10-07T00:00:00"/>
    <m/>
    <d v="2023-10-10T00:00:00"/>
    <s v="yes"/>
    <x v="0"/>
    <s v="na"/>
    <s v="Liam Walker"/>
    <s v="na"/>
    <x v="5"/>
  </r>
  <r>
    <s v="ORD0030"/>
    <x v="21"/>
    <x v="13"/>
    <x v="0"/>
    <x v="21"/>
    <n v="5"/>
    <x v="29"/>
    <x v="3"/>
    <x v="2"/>
    <s v="Amazon Logistics"/>
    <d v="2023-02-14T00:00:00"/>
    <m/>
    <m/>
    <s v="no"/>
    <x v="4"/>
    <s v="na"/>
    <s v="Harper Young"/>
    <s v="na"/>
    <x v="13"/>
  </r>
  <r>
    <s v="ORD0031"/>
    <x v="22"/>
    <x v="15"/>
    <x v="0"/>
    <x v="22"/>
    <n v="5"/>
    <x v="30"/>
    <x v="3"/>
    <x v="2"/>
    <s v="UPS"/>
    <d v="2023-03-26T00:00:00"/>
    <m/>
    <m/>
    <s v="no"/>
    <x v="1"/>
    <s v="na"/>
    <s v="Harper Young"/>
    <s v="na"/>
    <x v="15"/>
  </r>
  <r>
    <s v="ORD0032"/>
    <x v="23"/>
    <x v="17"/>
    <x v="1"/>
    <x v="23"/>
    <n v="5"/>
    <x v="31"/>
    <x v="4"/>
    <x v="0"/>
    <s v="FedEx"/>
    <d v="2023-06-15T00:00:00"/>
    <m/>
    <d v="2023-06-22T00:00:00"/>
    <s v="yes"/>
    <x v="4"/>
    <s v="na"/>
    <s v="Emily Johnson"/>
    <s v="na"/>
    <x v="17"/>
  </r>
  <r>
    <s v="ORD0033"/>
    <x v="16"/>
    <x v="11"/>
    <x v="2"/>
    <x v="12"/>
    <n v="2"/>
    <x v="32"/>
    <x v="0"/>
    <x v="1"/>
    <s v="USPS"/>
    <d v="2023-05-22T00:00:00"/>
    <d v="2023-05-23T00:00:00"/>
    <m/>
    <s v="no"/>
    <x v="2"/>
    <n v="1"/>
    <s v="Elijah Lewis"/>
    <s v="fast"/>
    <x v="11"/>
  </r>
  <r>
    <s v="ORD0034"/>
    <x v="15"/>
    <x v="12"/>
    <x v="2"/>
    <x v="13"/>
    <n v="1"/>
    <x v="33"/>
    <x v="3"/>
    <x v="2"/>
    <s v="DHL"/>
    <d v="2023-11-20T00:00:00"/>
    <m/>
    <m/>
    <s v="no"/>
    <x v="4"/>
    <s v="na"/>
    <s v="Emma King"/>
    <s v="na"/>
    <x v="12"/>
  </r>
  <r>
    <s v="ORD0035"/>
    <x v="24"/>
    <x v="18"/>
    <x v="2"/>
    <x v="24"/>
    <n v="1"/>
    <x v="34"/>
    <x v="2"/>
    <x v="1"/>
    <s v="USPS"/>
    <d v="2023-12-22T00:00:00"/>
    <d v="2023-12-26T00:00:00"/>
    <m/>
    <s v="no"/>
    <x v="3"/>
    <n v="4"/>
    <s v="Luke Gray"/>
    <s v="slow"/>
    <x v="18"/>
  </r>
  <r>
    <s v="ORD0036"/>
    <x v="22"/>
    <x v="19"/>
    <x v="0"/>
    <x v="25"/>
    <n v="3"/>
    <x v="35"/>
    <x v="3"/>
    <x v="2"/>
    <s v="UPS"/>
    <d v="2023-07-23T00:00:00"/>
    <m/>
    <m/>
    <s v="no"/>
    <x v="0"/>
    <s v="na"/>
    <s v="Harper Young"/>
    <s v="na"/>
    <x v="19"/>
  </r>
  <r>
    <s v="ORD0037"/>
    <x v="2"/>
    <x v="15"/>
    <x v="1"/>
    <x v="26"/>
    <n v="4"/>
    <x v="36"/>
    <x v="1"/>
    <x v="1"/>
    <s v="Amazon Logistics"/>
    <d v="2023-10-17T00:00:00"/>
    <d v="2023-10-22T00:00:00"/>
    <m/>
    <s v="no"/>
    <x v="1"/>
    <n v="5"/>
    <s v="Grace Ward"/>
    <s v="slow"/>
    <x v="15"/>
  </r>
  <r>
    <s v="ORD0038"/>
    <x v="17"/>
    <x v="20"/>
    <x v="0"/>
    <x v="27"/>
    <n v="2"/>
    <x v="37"/>
    <x v="4"/>
    <x v="0"/>
    <s v="FedEx"/>
    <d v="2023-08-22T00:00:00"/>
    <m/>
    <d v="2023-08-24T00:00:00"/>
    <s v="yes"/>
    <x v="1"/>
    <s v="na"/>
    <s v="Lily Bennett"/>
    <s v="na"/>
    <x v="20"/>
  </r>
  <r>
    <s v="ORD0039"/>
    <x v="25"/>
    <x v="16"/>
    <x v="1"/>
    <x v="28"/>
    <n v="2"/>
    <x v="38"/>
    <x v="0"/>
    <x v="2"/>
    <s v="DHL"/>
    <d v="2023-12-02T00:00:00"/>
    <m/>
    <m/>
    <s v="no"/>
    <x v="2"/>
    <s v="na"/>
    <s v="Scarlett Murphy"/>
    <s v="na"/>
    <x v="16"/>
  </r>
  <r>
    <s v="ORD0040"/>
    <x v="26"/>
    <x v="21"/>
    <x v="1"/>
    <x v="29"/>
    <n v="4"/>
    <x v="39"/>
    <x v="4"/>
    <x v="2"/>
    <s v="UPS"/>
    <d v="2023-12-25T00:00:00"/>
    <m/>
    <m/>
    <s v="no"/>
    <x v="1"/>
    <s v="na"/>
    <s v="Ava Robinson"/>
    <s v="na"/>
    <x v="21"/>
  </r>
  <r>
    <s v="ORD0041"/>
    <x v="27"/>
    <x v="18"/>
    <x v="4"/>
    <x v="30"/>
    <n v="4"/>
    <x v="40"/>
    <x v="0"/>
    <x v="1"/>
    <s v="UPS"/>
    <d v="2023-09-23T00:00:00"/>
    <d v="2023-09-30T00:00:00"/>
    <m/>
    <s v="no"/>
    <x v="3"/>
    <n v="7"/>
    <s v="James Miller"/>
    <s v="slow"/>
    <x v="18"/>
  </r>
  <r>
    <s v="ORD0042"/>
    <x v="20"/>
    <x v="21"/>
    <x v="4"/>
    <x v="31"/>
    <n v="3"/>
    <x v="41"/>
    <x v="0"/>
    <x v="1"/>
    <s v="UPS"/>
    <d v="2023-07-16T00:00:00"/>
    <d v="2023-07-18T00:00:00"/>
    <m/>
    <s v="no"/>
    <x v="1"/>
    <n v="2"/>
    <s v="Liam Walker"/>
    <s v="fast"/>
    <x v="21"/>
  </r>
  <r>
    <s v="ORD0043"/>
    <x v="18"/>
    <x v="5"/>
    <x v="4"/>
    <x v="32"/>
    <n v="3"/>
    <x v="42"/>
    <x v="4"/>
    <x v="0"/>
    <s v="USPS"/>
    <d v="2023-02-05T00:00:00"/>
    <m/>
    <d v="2023-02-11T00:00:00"/>
    <s v="yes"/>
    <x v="0"/>
    <s v="na"/>
    <s v="Benjamin Clark"/>
    <s v="na"/>
    <x v="5"/>
  </r>
  <r>
    <s v="ORD0044"/>
    <x v="26"/>
    <x v="21"/>
    <x v="3"/>
    <x v="29"/>
    <n v="1"/>
    <x v="43"/>
    <x v="0"/>
    <x v="0"/>
    <s v="Amazon Logistics"/>
    <d v="2023-12-18T00:00:00"/>
    <m/>
    <d v="2023-12-23T00:00:00"/>
    <s v="yes"/>
    <x v="1"/>
    <s v="na"/>
    <s v="Ava Robinson"/>
    <s v="na"/>
    <x v="21"/>
  </r>
  <r>
    <s v="ORD0045"/>
    <x v="5"/>
    <x v="7"/>
    <x v="3"/>
    <x v="33"/>
    <n v="5"/>
    <x v="44"/>
    <x v="3"/>
    <x v="0"/>
    <s v="FedEx"/>
    <d v="2023-06-11T00:00:00"/>
    <m/>
    <d v="2023-06-14T00:00:00"/>
    <s v="yes"/>
    <x v="0"/>
    <s v="na"/>
    <s v="Noah Wilson"/>
    <s v="na"/>
    <x v="7"/>
  </r>
  <r>
    <s v="ORD0046"/>
    <x v="28"/>
    <x v="10"/>
    <x v="0"/>
    <x v="34"/>
    <n v="4"/>
    <x v="45"/>
    <x v="1"/>
    <x v="1"/>
    <s v="Amazon Logistics"/>
    <d v="2023-12-04T00:00:00"/>
    <d v="2023-12-08T00:00:00"/>
    <m/>
    <s v="no"/>
    <x v="3"/>
    <n v="4"/>
    <s v="Logan Ramirez"/>
    <s v="slow"/>
    <x v="10"/>
  </r>
  <r>
    <s v="ORD0047"/>
    <x v="14"/>
    <x v="4"/>
    <x v="0"/>
    <x v="35"/>
    <n v="1"/>
    <x v="46"/>
    <x v="2"/>
    <x v="1"/>
    <s v="Amazon Logistics"/>
    <d v="2023-07-17T00:00:00"/>
    <d v="2023-07-19T00:00:00"/>
    <m/>
    <s v="no"/>
    <x v="3"/>
    <n v="2"/>
    <s v="Jacob Price"/>
    <s v="fast"/>
    <x v="4"/>
  </r>
  <r>
    <s v="ORD0048"/>
    <x v="2"/>
    <x v="9"/>
    <x v="1"/>
    <x v="20"/>
    <n v="1"/>
    <x v="47"/>
    <x v="3"/>
    <x v="1"/>
    <s v="FedEx"/>
    <d v="2023-10-19T00:00:00"/>
    <d v="2023-10-24T00:00:00"/>
    <m/>
    <s v="no"/>
    <x v="2"/>
    <n v="5"/>
    <s v="Grace Ward"/>
    <s v="slow"/>
    <x v="9"/>
  </r>
  <r>
    <s v="ORD0049"/>
    <x v="29"/>
    <x v="10"/>
    <x v="2"/>
    <x v="34"/>
    <n v="5"/>
    <x v="48"/>
    <x v="0"/>
    <x v="2"/>
    <s v="Amazon Logistics"/>
    <d v="2023-05-15T00:00:00"/>
    <m/>
    <m/>
    <s v="no"/>
    <x v="3"/>
    <s v="na"/>
    <s v="Zoe Mitchell"/>
    <s v="na"/>
    <x v="10"/>
  </r>
  <r>
    <s v="ORD0050"/>
    <x v="18"/>
    <x v="11"/>
    <x v="1"/>
    <x v="12"/>
    <n v="3"/>
    <x v="15"/>
    <x v="3"/>
    <x v="1"/>
    <s v="UPS"/>
    <d v="2023-02-12T00:00:00"/>
    <d v="2023-02-19T00:00:00"/>
    <m/>
    <s v="no"/>
    <x v="2"/>
    <n v="7"/>
    <s v="Benjamin Clark"/>
    <s v="slow"/>
    <x v="11"/>
  </r>
  <r>
    <s v="ORD0051"/>
    <x v="14"/>
    <x v="5"/>
    <x v="0"/>
    <x v="7"/>
    <n v="1"/>
    <x v="49"/>
    <x v="0"/>
    <x v="2"/>
    <s v="UPS"/>
    <d v="2023-10-02T00:00:00"/>
    <m/>
    <m/>
    <s v="no"/>
    <x v="0"/>
    <s v="na"/>
    <s v="Jacob Price"/>
    <s v="na"/>
    <x v="5"/>
  </r>
  <r>
    <s v="ORD0052"/>
    <x v="21"/>
    <x v="12"/>
    <x v="0"/>
    <x v="36"/>
    <n v="1"/>
    <x v="50"/>
    <x v="4"/>
    <x v="1"/>
    <s v="FedEx"/>
    <d v="2023-01-30T00:00:00"/>
    <d v="2023-02-01T00:00:00"/>
    <m/>
    <s v="no"/>
    <x v="4"/>
    <n v="2"/>
    <s v="Harper Young"/>
    <s v="fast"/>
    <x v="12"/>
  </r>
  <r>
    <s v="ORD0053"/>
    <x v="13"/>
    <x v="19"/>
    <x v="3"/>
    <x v="37"/>
    <n v="5"/>
    <x v="51"/>
    <x v="2"/>
    <x v="1"/>
    <s v="DHL"/>
    <d v="2023-12-29T00:00:00"/>
    <d v="2024-01-01T00:00:00"/>
    <m/>
    <s v="no"/>
    <x v="0"/>
    <n v="3"/>
    <s v="Mason Hall"/>
    <s v="slow"/>
    <x v="19"/>
  </r>
  <r>
    <s v="ORD0054"/>
    <x v="19"/>
    <x v="21"/>
    <x v="0"/>
    <x v="19"/>
    <n v="1"/>
    <x v="37"/>
    <x v="0"/>
    <x v="0"/>
    <s v="USPS"/>
    <d v="2023-03-06T00:00:00"/>
    <m/>
    <d v="2023-03-13T00:00:00"/>
    <s v="yes"/>
    <x v="1"/>
    <s v="na"/>
    <s v="Grace Scott"/>
    <s v="na"/>
    <x v="21"/>
  </r>
  <r>
    <s v="ORD0055"/>
    <x v="23"/>
    <x v="5"/>
    <x v="3"/>
    <x v="32"/>
    <n v="4"/>
    <x v="52"/>
    <x v="2"/>
    <x v="1"/>
    <s v="Amazon Logistics"/>
    <d v="2023-02-02T00:00:00"/>
    <d v="2023-02-06T00:00:00"/>
    <m/>
    <s v="no"/>
    <x v="0"/>
    <n v="4"/>
    <s v="Emily Johnson"/>
    <s v="slow"/>
    <x v="5"/>
  </r>
  <r>
    <s v="ORD0056"/>
    <x v="30"/>
    <x v="21"/>
    <x v="4"/>
    <x v="38"/>
    <n v="1"/>
    <x v="53"/>
    <x v="3"/>
    <x v="1"/>
    <s v="FedEx"/>
    <d v="2023-10-18T00:00:00"/>
    <d v="2023-10-21T00:00:00"/>
    <m/>
    <s v="no"/>
    <x v="1"/>
    <n v="3"/>
    <s v="Emma King"/>
    <s v="slow"/>
    <x v="21"/>
  </r>
  <r>
    <s v="ORD0057"/>
    <x v="15"/>
    <x v="11"/>
    <x v="3"/>
    <x v="39"/>
    <n v="1"/>
    <x v="54"/>
    <x v="0"/>
    <x v="1"/>
    <s v="DHL"/>
    <d v="2023-01-07T00:00:00"/>
    <d v="2023-01-09T00:00:00"/>
    <m/>
    <s v="no"/>
    <x v="2"/>
    <n v="2"/>
    <s v="Emma King"/>
    <s v="fast"/>
    <x v="11"/>
  </r>
  <r>
    <s v="ORD0058"/>
    <x v="0"/>
    <x v="17"/>
    <x v="0"/>
    <x v="23"/>
    <n v="5"/>
    <x v="31"/>
    <x v="1"/>
    <x v="2"/>
    <s v="FedEx"/>
    <d v="2023-05-08T00:00:00"/>
    <m/>
    <m/>
    <s v="no"/>
    <x v="4"/>
    <s v="na"/>
    <s v="Zoe Mitchell"/>
    <s v="na"/>
    <x v="17"/>
  </r>
  <r>
    <s v="ORD0059"/>
    <x v="31"/>
    <x v="2"/>
    <x v="0"/>
    <x v="40"/>
    <n v="4"/>
    <x v="55"/>
    <x v="2"/>
    <x v="0"/>
    <s v="FedEx"/>
    <d v="2023-04-02T00:00:00"/>
    <m/>
    <d v="2023-04-05T00:00:00"/>
    <s v="yes"/>
    <x v="0"/>
    <s v="na"/>
    <s v="Ethan Davis"/>
    <s v="na"/>
    <x v="2"/>
  </r>
  <r>
    <s v="ORD0060"/>
    <x v="6"/>
    <x v="6"/>
    <x v="4"/>
    <x v="0"/>
    <n v="5"/>
    <x v="56"/>
    <x v="0"/>
    <x v="0"/>
    <s v="USPS"/>
    <d v="2023-10-11T00:00:00"/>
    <m/>
    <d v="2023-10-12T00:00:00"/>
    <s v="yes"/>
    <x v="2"/>
    <s v="na"/>
    <s v="Ava Robinson"/>
    <s v="na"/>
    <x v="6"/>
  </r>
  <r>
    <s v="ORD0061"/>
    <x v="32"/>
    <x v="13"/>
    <x v="1"/>
    <x v="21"/>
    <n v="4"/>
    <x v="57"/>
    <x v="4"/>
    <x v="2"/>
    <s v="DHL"/>
    <d v="2023-09-10T00:00:00"/>
    <m/>
    <m/>
    <s v="no"/>
    <x v="4"/>
    <s v="na"/>
    <s v="Scarlett Adams"/>
    <s v="na"/>
    <x v="13"/>
  </r>
  <r>
    <s v="ORD0062"/>
    <x v="33"/>
    <x v="14"/>
    <x v="0"/>
    <x v="41"/>
    <n v="4"/>
    <x v="58"/>
    <x v="1"/>
    <x v="1"/>
    <s v="USPS"/>
    <d v="2023-11-22T00:00:00"/>
    <d v="2023-11-29T00:00:00"/>
    <m/>
    <s v="no"/>
    <x v="3"/>
    <n v="7"/>
    <s v="Elijah Lewis"/>
    <s v="slow"/>
    <x v="14"/>
  </r>
  <r>
    <s v="ORD0063"/>
    <x v="34"/>
    <x v="11"/>
    <x v="1"/>
    <x v="12"/>
    <n v="1"/>
    <x v="14"/>
    <x v="4"/>
    <x v="2"/>
    <s v="Amazon Logistics"/>
    <d v="2023-05-02T00:00:00"/>
    <m/>
    <m/>
    <s v="no"/>
    <x v="2"/>
    <s v="na"/>
    <s v="Noah Wilson"/>
    <s v="na"/>
    <x v="11"/>
  </r>
  <r>
    <s v="ORD0064"/>
    <x v="35"/>
    <x v="7"/>
    <x v="4"/>
    <x v="42"/>
    <n v="5"/>
    <x v="59"/>
    <x v="0"/>
    <x v="1"/>
    <s v="USPS"/>
    <d v="2023-12-25T00:00:00"/>
    <d v="2023-12-29T00:00:00"/>
    <m/>
    <s v="no"/>
    <x v="0"/>
    <n v="4"/>
    <s v="Noah Wilson"/>
    <s v="slow"/>
    <x v="7"/>
  </r>
  <r>
    <s v="ORD0065"/>
    <x v="4"/>
    <x v="13"/>
    <x v="2"/>
    <x v="21"/>
    <n v="3"/>
    <x v="60"/>
    <x v="2"/>
    <x v="0"/>
    <s v="Amazon Logistics"/>
    <d v="2023-10-18T00:00:00"/>
    <m/>
    <d v="2023-10-20T00:00:00"/>
    <s v="yes"/>
    <x v="4"/>
    <s v="na"/>
    <s v="Jackson Allen"/>
    <s v="na"/>
    <x v="13"/>
  </r>
  <r>
    <s v="ORD0066"/>
    <x v="4"/>
    <x v="6"/>
    <x v="4"/>
    <x v="22"/>
    <n v="1"/>
    <x v="61"/>
    <x v="0"/>
    <x v="0"/>
    <s v="DHL"/>
    <d v="2023-05-20T00:00:00"/>
    <m/>
    <d v="2023-05-21T00:00:00"/>
    <s v="yes"/>
    <x v="2"/>
    <s v="na"/>
    <s v="Jackson Allen"/>
    <s v="na"/>
    <x v="6"/>
  </r>
  <r>
    <s v="ORD0067"/>
    <x v="36"/>
    <x v="20"/>
    <x v="0"/>
    <x v="43"/>
    <n v="4"/>
    <x v="62"/>
    <x v="1"/>
    <x v="1"/>
    <s v="UPS"/>
    <d v="2023-07-28T00:00:00"/>
    <d v="2023-07-30T00:00:00"/>
    <m/>
    <s v="no"/>
    <x v="1"/>
    <n v="2"/>
    <s v="not found"/>
    <s v="fast"/>
    <x v="20"/>
  </r>
  <r>
    <s v="ORD0068"/>
    <x v="9"/>
    <x v="4"/>
    <x v="4"/>
    <x v="35"/>
    <n v="3"/>
    <x v="63"/>
    <x v="1"/>
    <x v="2"/>
    <s v="UPS"/>
    <d v="2023-12-18T00:00:00"/>
    <m/>
    <m/>
    <s v="no"/>
    <x v="3"/>
    <s v="na"/>
    <s v="Emily Johnson"/>
    <s v="na"/>
    <x v="4"/>
  </r>
  <r>
    <s v="ORD0069"/>
    <x v="2"/>
    <x v="3"/>
    <x v="1"/>
    <x v="5"/>
    <n v="2"/>
    <x v="64"/>
    <x v="0"/>
    <x v="0"/>
    <s v="USPS"/>
    <d v="2023-07-02T00:00:00"/>
    <m/>
    <d v="2023-07-07T00:00:00"/>
    <s v="yes"/>
    <x v="2"/>
    <s v="na"/>
    <s v="Grace Ward"/>
    <s v="na"/>
    <x v="3"/>
  </r>
  <r>
    <s v="ORD0070"/>
    <x v="4"/>
    <x v="21"/>
    <x v="4"/>
    <x v="29"/>
    <n v="2"/>
    <x v="62"/>
    <x v="4"/>
    <x v="0"/>
    <s v="DHL"/>
    <d v="2023-10-09T00:00:00"/>
    <m/>
    <d v="2023-10-10T00:00:00"/>
    <s v="yes"/>
    <x v="1"/>
    <s v="na"/>
    <s v="Jackson Allen"/>
    <s v="na"/>
    <x v="21"/>
  </r>
  <r>
    <s v="ORD0071"/>
    <x v="26"/>
    <x v="6"/>
    <x v="1"/>
    <x v="18"/>
    <n v="1"/>
    <x v="24"/>
    <x v="1"/>
    <x v="1"/>
    <s v="Amazon Logistics"/>
    <d v="2023-12-18T00:00:00"/>
    <d v="2023-12-25T00:00:00"/>
    <m/>
    <s v="no"/>
    <x v="2"/>
    <n v="7"/>
    <s v="Ava Robinson"/>
    <s v="slow"/>
    <x v="6"/>
  </r>
  <r>
    <s v="ORD0072"/>
    <x v="33"/>
    <x v="21"/>
    <x v="1"/>
    <x v="29"/>
    <n v="4"/>
    <x v="39"/>
    <x v="4"/>
    <x v="2"/>
    <s v="Amazon Logistics"/>
    <d v="2023-03-07T00:00:00"/>
    <m/>
    <m/>
    <s v="no"/>
    <x v="1"/>
    <s v="na"/>
    <s v="Elijah Lewis"/>
    <s v="na"/>
    <x v="21"/>
  </r>
  <r>
    <s v="ORD0073"/>
    <x v="17"/>
    <x v="9"/>
    <x v="0"/>
    <x v="44"/>
    <n v="2"/>
    <x v="65"/>
    <x v="2"/>
    <x v="0"/>
    <s v="UPS"/>
    <d v="2023-07-22T00:00:00"/>
    <m/>
    <d v="2023-07-25T00:00:00"/>
    <s v="yes"/>
    <x v="2"/>
    <s v="na"/>
    <s v="Lily Bennett"/>
    <s v="na"/>
    <x v="9"/>
  </r>
  <r>
    <s v="ORD0074"/>
    <x v="16"/>
    <x v="5"/>
    <x v="3"/>
    <x v="32"/>
    <n v="4"/>
    <x v="52"/>
    <x v="0"/>
    <x v="1"/>
    <s v="FedEx"/>
    <d v="2023-01-18T00:00:00"/>
    <d v="2023-01-24T00:00:00"/>
    <m/>
    <s v="no"/>
    <x v="0"/>
    <n v="6"/>
    <s v="Elijah Lewis"/>
    <s v="slow"/>
    <x v="5"/>
  </r>
  <r>
    <s v="ORD0075"/>
    <x v="5"/>
    <x v="10"/>
    <x v="1"/>
    <x v="34"/>
    <n v="5"/>
    <x v="48"/>
    <x v="0"/>
    <x v="2"/>
    <s v="DHL"/>
    <d v="2023-05-24T00:00:00"/>
    <m/>
    <m/>
    <s v="no"/>
    <x v="3"/>
    <s v="na"/>
    <s v="Noah Wilson"/>
    <s v="na"/>
    <x v="10"/>
  </r>
  <r>
    <s v="ORD0076"/>
    <x v="10"/>
    <x v="6"/>
    <x v="0"/>
    <x v="18"/>
    <n v="4"/>
    <x v="34"/>
    <x v="4"/>
    <x v="1"/>
    <s v="DHL"/>
    <d v="2023-09-03T00:00:00"/>
    <d v="2023-09-09T00:00:00"/>
    <m/>
    <s v="no"/>
    <x v="2"/>
    <n v="6"/>
    <s v="Charlotte Reed"/>
    <s v="slow"/>
    <x v="6"/>
  </r>
  <r>
    <s v="ORD0077"/>
    <x v="34"/>
    <x v="19"/>
    <x v="4"/>
    <x v="45"/>
    <n v="5"/>
    <x v="66"/>
    <x v="4"/>
    <x v="1"/>
    <s v="UPS"/>
    <d v="2023-11-02T00:00:00"/>
    <d v="2023-11-04T00:00:00"/>
    <m/>
    <s v="no"/>
    <x v="0"/>
    <n v="2"/>
    <s v="Noah Wilson"/>
    <s v="fast"/>
    <x v="19"/>
  </r>
  <r>
    <s v="ORD0078"/>
    <x v="35"/>
    <x v="15"/>
    <x v="3"/>
    <x v="22"/>
    <n v="2"/>
    <x v="20"/>
    <x v="0"/>
    <x v="0"/>
    <s v="UPS"/>
    <d v="2023-12-03T00:00:00"/>
    <m/>
    <d v="2023-12-06T00:00:00"/>
    <s v="yes"/>
    <x v="1"/>
    <s v="na"/>
    <s v="Noah Wilson"/>
    <s v="na"/>
    <x v="15"/>
  </r>
  <r>
    <s v="ORD0079"/>
    <x v="35"/>
    <x v="0"/>
    <x v="0"/>
    <x v="17"/>
    <n v="1"/>
    <x v="67"/>
    <x v="3"/>
    <x v="2"/>
    <s v="UPS"/>
    <d v="2023-04-01T00:00:00"/>
    <m/>
    <m/>
    <s v="no"/>
    <x v="0"/>
    <s v="na"/>
    <s v="Noah Wilson"/>
    <s v="na"/>
    <x v="0"/>
  </r>
  <r>
    <s v="ORD0080"/>
    <x v="24"/>
    <x v="1"/>
    <x v="1"/>
    <x v="44"/>
    <n v="4"/>
    <x v="68"/>
    <x v="1"/>
    <x v="1"/>
    <s v="UPS"/>
    <d v="2023-10-16T00:00:00"/>
    <d v="2023-10-19T00:00:00"/>
    <m/>
    <s v="no"/>
    <x v="1"/>
    <n v="3"/>
    <s v="Luke Gray"/>
    <s v="slow"/>
    <x v="1"/>
  </r>
  <r>
    <s v="ORD0081"/>
    <x v="27"/>
    <x v="18"/>
    <x v="4"/>
    <x v="46"/>
    <n v="2"/>
    <x v="69"/>
    <x v="2"/>
    <x v="2"/>
    <s v="UPS"/>
    <d v="2023-11-05T00:00:00"/>
    <m/>
    <m/>
    <s v="no"/>
    <x v="3"/>
    <s v="na"/>
    <s v="James Miller"/>
    <s v="na"/>
    <x v="18"/>
  </r>
  <r>
    <s v="ORD0082"/>
    <x v="8"/>
    <x v="11"/>
    <x v="0"/>
    <x v="12"/>
    <n v="5"/>
    <x v="70"/>
    <x v="1"/>
    <x v="0"/>
    <s v="Amazon Logistics"/>
    <d v="2023-06-15T00:00:00"/>
    <m/>
    <d v="2023-06-18T00:00:00"/>
    <s v="yes"/>
    <x v="2"/>
    <s v="na"/>
    <s v="Emily Johnson"/>
    <s v="na"/>
    <x v="11"/>
  </r>
  <r>
    <s v="ORD0083"/>
    <x v="0"/>
    <x v="11"/>
    <x v="2"/>
    <x v="12"/>
    <n v="4"/>
    <x v="42"/>
    <x v="2"/>
    <x v="1"/>
    <s v="USPS"/>
    <d v="2023-10-28T00:00:00"/>
    <d v="2023-10-30T00:00:00"/>
    <m/>
    <s v="no"/>
    <x v="2"/>
    <n v="2"/>
    <s v="Zoe Mitchell"/>
    <s v="fast"/>
    <x v="11"/>
  </r>
  <r>
    <s v="ORD0084"/>
    <x v="37"/>
    <x v="16"/>
    <x v="2"/>
    <x v="38"/>
    <n v="2"/>
    <x v="71"/>
    <x v="2"/>
    <x v="2"/>
    <s v="DHL"/>
    <d v="2023-12-22T00:00:00"/>
    <m/>
    <m/>
    <s v="no"/>
    <x v="2"/>
    <s v="na"/>
    <s v="Ava White"/>
    <s v="na"/>
    <x v="16"/>
  </r>
  <r>
    <s v="ORD0085"/>
    <x v="9"/>
    <x v="6"/>
    <x v="1"/>
    <x v="18"/>
    <n v="5"/>
    <x v="72"/>
    <x v="4"/>
    <x v="2"/>
    <s v="DHL"/>
    <d v="2023-03-07T00:00:00"/>
    <m/>
    <m/>
    <s v="no"/>
    <x v="2"/>
    <s v="na"/>
    <s v="Emily Johnson"/>
    <s v="na"/>
    <x v="6"/>
  </r>
  <r>
    <s v="ORD0086"/>
    <x v="20"/>
    <x v="19"/>
    <x v="4"/>
    <x v="47"/>
    <n v="1"/>
    <x v="30"/>
    <x v="2"/>
    <x v="2"/>
    <s v="UPS"/>
    <d v="2023-11-10T00:00:00"/>
    <m/>
    <m/>
    <s v="no"/>
    <x v="0"/>
    <s v="na"/>
    <s v="Liam Walker"/>
    <s v="na"/>
    <x v="19"/>
  </r>
  <r>
    <s v="ORD0087"/>
    <x v="38"/>
    <x v="5"/>
    <x v="2"/>
    <x v="7"/>
    <n v="3"/>
    <x v="28"/>
    <x v="1"/>
    <x v="2"/>
    <s v="UPS"/>
    <d v="2023-11-22T00:00:00"/>
    <m/>
    <m/>
    <s v="no"/>
    <x v="0"/>
    <s v="na"/>
    <s v="Lily Reed"/>
    <s v="na"/>
    <x v="5"/>
  </r>
  <r>
    <s v="ORD0088"/>
    <x v="20"/>
    <x v="14"/>
    <x v="2"/>
    <x v="48"/>
    <n v="4"/>
    <x v="73"/>
    <x v="4"/>
    <x v="2"/>
    <s v="Amazon Logistics"/>
    <d v="2023-05-08T00:00:00"/>
    <m/>
    <m/>
    <s v="no"/>
    <x v="3"/>
    <s v="na"/>
    <s v="Liam Walker"/>
    <s v="na"/>
    <x v="14"/>
  </r>
  <r>
    <s v="ORD0089"/>
    <x v="20"/>
    <x v="19"/>
    <x v="4"/>
    <x v="49"/>
    <n v="5"/>
    <x v="74"/>
    <x v="4"/>
    <x v="2"/>
    <s v="FedEx"/>
    <d v="2023-07-13T00:00:00"/>
    <m/>
    <m/>
    <s v="no"/>
    <x v="0"/>
    <s v="na"/>
    <s v="Liam Walker"/>
    <s v="na"/>
    <x v="19"/>
  </r>
  <r>
    <s v="ORD0090"/>
    <x v="20"/>
    <x v="7"/>
    <x v="4"/>
    <x v="50"/>
    <n v="4"/>
    <x v="75"/>
    <x v="1"/>
    <x v="2"/>
    <s v="FedEx"/>
    <d v="2023-01-18T00:00:00"/>
    <m/>
    <m/>
    <s v="no"/>
    <x v="0"/>
    <s v="na"/>
    <s v="Liam Walker"/>
    <s v="na"/>
    <x v="7"/>
  </r>
  <r>
    <s v="ORD0091"/>
    <x v="39"/>
    <x v="14"/>
    <x v="3"/>
    <x v="51"/>
    <n v="2"/>
    <x v="76"/>
    <x v="0"/>
    <x v="1"/>
    <s v="FedEx"/>
    <d v="2023-06-23T00:00:00"/>
    <d v="2023-06-29T00:00:00"/>
    <m/>
    <s v="no"/>
    <x v="3"/>
    <n v="6"/>
    <s v="Mason Collins"/>
    <s v="slow"/>
    <x v="14"/>
  </r>
  <r>
    <s v="ORD0092"/>
    <x v="7"/>
    <x v="8"/>
    <x v="0"/>
    <x v="52"/>
    <n v="5"/>
    <x v="77"/>
    <x v="2"/>
    <x v="0"/>
    <s v="UPS"/>
    <d v="2023-02-21T00:00:00"/>
    <m/>
    <d v="2023-02-25T00:00:00"/>
    <s v="yes"/>
    <x v="3"/>
    <s v="na"/>
    <s v="Olivia Martinez"/>
    <s v="na"/>
    <x v="8"/>
  </r>
  <r>
    <s v="ORD0093"/>
    <x v="40"/>
    <x v="19"/>
    <x v="1"/>
    <x v="47"/>
    <n v="3"/>
    <x v="78"/>
    <x v="0"/>
    <x v="1"/>
    <s v="DHL"/>
    <d v="2023-02-19T00:00:00"/>
    <d v="2023-02-21T00:00:00"/>
    <m/>
    <s v="no"/>
    <x v="0"/>
    <n v="2"/>
    <s v="Ethan Davis"/>
    <s v="fast"/>
    <x v="19"/>
  </r>
  <r>
    <s v="ORD0094"/>
    <x v="7"/>
    <x v="21"/>
    <x v="0"/>
    <x v="29"/>
    <n v="2"/>
    <x v="62"/>
    <x v="1"/>
    <x v="0"/>
    <s v="FedEx"/>
    <d v="2023-12-05T00:00:00"/>
    <m/>
    <d v="2023-12-12T00:00:00"/>
    <s v="yes"/>
    <x v="1"/>
    <s v="na"/>
    <s v="Olivia Martinez"/>
    <s v="na"/>
    <x v="21"/>
  </r>
  <r>
    <s v="ORD0095"/>
    <x v="38"/>
    <x v="17"/>
    <x v="2"/>
    <x v="23"/>
    <n v="5"/>
    <x v="31"/>
    <x v="4"/>
    <x v="0"/>
    <s v="Amazon Logistics"/>
    <d v="2023-06-07T00:00:00"/>
    <m/>
    <d v="2023-06-12T00:00:00"/>
    <s v="yes"/>
    <x v="4"/>
    <s v="na"/>
    <s v="Lily Reed"/>
    <s v="na"/>
    <x v="17"/>
  </r>
  <r>
    <s v="ORD0096"/>
    <x v="30"/>
    <x v="12"/>
    <x v="0"/>
    <x v="13"/>
    <n v="2"/>
    <x v="61"/>
    <x v="3"/>
    <x v="1"/>
    <s v="UPS"/>
    <d v="2023-07-09T00:00:00"/>
    <d v="2023-07-12T00:00:00"/>
    <m/>
    <s v="no"/>
    <x v="4"/>
    <n v="3"/>
    <s v="Emma King"/>
    <s v="slow"/>
    <x v="12"/>
  </r>
  <r>
    <s v="ORD0097"/>
    <x v="10"/>
    <x v="1"/>
    <x v="4"/>
    <x v="44"/>
    <n v="5"/>
    <x v="79"/>
    <x v="3"/>
    <x v="1"/>
    <s v="Amazon Logistics"/>
    <d v="2023-12-23T00:00:00"/>
    <d v="2023-12-26T00:00:00"/>
    <m/>
    <s v="no"/>
    <x v="1"/>
    <n v="3"/>
    <s v="Charlotte Reed"/>
    <s v="slow"/>
    <x v="1"/>
  </r>
  <r>
    <s v="ORD0098"/>
    <x v="2"/>
    <x v="19"/>
    <x v="2"/>
    <x v="53"/>
    <n v="2"/>
    <x v="80"/>
    <x v="2"/>
    <x v="1"/>
    <s v="Amazon Logistics"/>
    <d v="2023-09-25T00:00:00"/>
    <d v="2023-09-30T00:00:00"/>
    <m/>
    <s v="no"/>
    <x v="0"/>
    <n v="5"/>
    <s v="Grace Ward"/>
    <s v="slow"/>
    <x v="19"/>
  </r>
  <r>
    <s v="ORD0099"/>
    <x v="41"/>
    <x v="6"/>
    <x v="4"/>
    <x v="18"/>
    <n v="5"/>
    <x v="72"/>
    <x v="1"/>
    <x v="0"/>
    <s v="UPS"/>
    <d v="2023-01-18T00:00:00"/>
    <m/>
    <d v="2023-01-24T00:00:00"/>
    <s v="yes"/>
    <x v="2"/>
    <s v="na"/>
    <s v="Lily Simmons"/>
    <s v="na"/>
    <x v="6"/>
  </r>
  <r>
    <s v="ORD0100"/>
    <x v="4"/>
    <x v="15"/>
    <x v="4"/>
    <x v="22"/>
    <n v="4"/>
    <x v="81"/>
    <x v="4"/>
    <x v="2"/>
    <s v="DHL"/>
    <d v="2023-03-27T00:00:00"/>
    <m/>
    <m/>
    <s v="no"/>
    <x v="1"/>
    <s v="na"/>
    <s v="Jackson Allen"/>
    <s v="na"/>
    <x v="1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ORD0001"/>
    <s v="CUST021"/>
    <s v="PROD012"/>
    <s v="North"/>
    <n v="44"/>
    <n v="1"/>
    <n v="44"/>
    <s v="Apple Pay"/>
    <s v="Cancelled"/>
    <s v="DHL"/>
    <x v="0"/>
    <m/>
    <d v="2024-01-02T00:00:00"/>
    <s v="yes"/>
    <s v="Home"/>
    <s v="na"/>
    <s v="Zoe Mitchell"/>
    <s v="na"/>
    <s v="Lamp"/>
  </r>
  <r>
    <s v="ORD0002"/>
    <s v="CUST029"/>
    <s v="PROD018"/>
    <s v="East"/>
    <n v="96"/>
    <n v="4"/>
    <n v="384"/>
    <s v="Credit Card"/>
    <s v="Delivered"/>
    <s v="DHL"/>
    <x v="1"/>
    <d v="2023-02-24T00:00:00"/>
    <m/>
    <s v="no"/>
    <s v="Toys"/>
    <n v="2"/>
    <s v="Ava White"/>
    <s v="fast"/>
    <s v="Doll House"/>
  </r>
  <r>
    <s v="ORD0003"/>
    <s v="CUST021"/>
    <s v="PROD013"/>
    <s v="South"/>
    <n v="194"/>
    <n v="4"/>
    <n v="776"/>
    <s v="Credit Card"/>
    <s v="In Transit"/>
    <s v="USPS"/>
    <x v="2"/>
    <m/>
    <m/>
    <s v="no"/>
    <s v="Home"/>
    <s v="na"/>
    <s v="Zoe Mitchell"/>
    <s v="na"/>
    <s v="Vacuum Cleaner"/>
  </r>
  <r>
    <s v="ORD0004"/>
    <s v="CUST044"/>
    <s v="PROD013"/>
    <s v="North"/>
    <n v="196"/>
    <n v="3"/>
    <n v="588"/>
    <s v="PayPal"/>
    <s v="Cancelled"/>
    <s v="UPS"/>
    <x v="3"/>
    <m/>
    <d v="2023-05-11T00:00:00"/>
    <s v="yes"/>
    <s v="Home"/>
    <s v="na"/>
    <s v="Grace Ward"/>
    <s v="na"/>
    <s v="Vacuum Cleaner"/>
  </r>
  <r>
    <s v="ORD0005"/>
    <s v="CUST027"/>
    <s v="PROD010"/>
    <s v="North"/>
    <n v="59"/>
    <n v="1"/>
    <n v="59"/>
    <s v="PayPal"/>
    <s v="Delivered"/>
    <s v="Amazon Logistics"/>
    <x v="4"/>
    <d v="2023-02-05T00:00:00"/>
    <m/>
    <s v="no"/>
    <s v="Fashion"/>
    <n v="3"/>
    <s v="Hazel Brooks"/>
    <s v="slow"/>
    <s v="Jeans"/>
  </r>
  <r>
    <s v="ORD0006"/>
    <s v="CUST009"/>
    <s v="PROD010"/>
    <s v="North"/>
    <n v="58"/>
    <n v="4"/>
    <n v="232"/>
    <s v="Amazon Pay"/>
    <s v="Cancelled"/>
    <s v="DHL"/>
    <x v="5"/>
    <m/>
    <d v="2023-11-02T00:00:00"/>
    <s v="yes"/>
    <s v="Fashion"/>
    <s v="na"/>
    <s v="Jackson Allen"/>
    <s v="na"/>
    <s v="Jeans"/>
  </r>
  <r>
    <s v="ORD0007"/>
    <s v="CUST042"/>
    <s v="PROD020"/>
    <s v="Central"/>
    <n v="105"/>
    <n v="3"/>
    <n v="315"/>
    <s v="Debit Card"/>
    <s v="Cancelled"/>
    <s v="DHL"/>
    <x v="6"/>
    <m/>
    <d v="2023-08-18T00:00:00"/>
    <s v="yes"/>
    <s v="Electronics"/>
    <s v="na"/>
    <s v="Noah Wilson"/>
    <s v="na"/>
    <s v="Bluetooth Speaker"/>
  </r>
  <r>
    <s v="ORD0008"/>
    <s v="CUST019"/>
    <s v="PROD021"/>
    <s v="West"/>
    <n v="37"/>
    <n v="5"/>
    <n v="185"/>
    <s v="PayPal"/>
    <s v="Cancelled"/>
    <s v="DHL"/>
    <x v="7"/>
    <m/>
    <d v="2023-04-06T00:00:00"/>
    <s v="yes"/>
    <s v="Home"/>
    <s v="na"/>
    <s v="Ava Robinson"/>
    <s v="na"/>
    <s v="Wall Clock"/>
  </r>
  <r>
    <s v="ORD0009"/>
    <s v="CUST013"/>
    <s v="PROD019"/>
    <s v="Central"/>
    <n v="44"/>
    <n v="2"/>
    <n v="88"/>
    <s v="Credit Card"/>
    <s v="In Transit"/>
    <s v="Amazon Logistics"/>
    <x v="8"/>
    <m/>
    <m/>
    <s v="no"/>
    <s v="Fashion"/>
    <s v="na"/>
    <s v="Olivia Martinez"/>
    <s v="na"/>
    <s v="Formal Shirt"/>
  </r>
  <r>
    <s v="ORD0010"/>
    <s v="CUST019"/>
    <s v="PROD003"/>
    <s v="South"/>
    <n v="141"/>
    <n v="4"/>
    <n v="564"/>
    <s v="Debit Card"/>
    <s v="In Transit"/>
    <s v="DHL"/>
    <x v="9"/>
    <m/>
    <m/>
    <s v="no"/>
    <s v="Home"/>
    <s v="na"/>
    <s v="Ava Robinson"/>
    <s v="na"/>
    <s v="Cookware Set"/>
  </r>
  <r>
    <s v="ORD0011"/>
    <s v="CUST046"/>
    <s v="PROD014"/>
    <s v="South"/>
    <n v="249"/>
    <n v="1"/>
    <n v="249"/>
    <s v="Amazon Pay"/>
    <s v="Cancelled"/>
    <s v="USPS"/>
    <x v="10"/>
    <m/>
    <d v="2023-05-08T00:00:00"/>
    <s v="yes"/>
    <s v="Electronics"/>
    <s v="na"/>
    <s v="Emily Johnson"/>
    <s v="na"/>
    <s v="Smartwatch"/>
  </r>
  <r>
    <s v="ORD0012"/>
    <s v="CUST045"/>
    <s v="PROD014"/>
    <s v="Central"/>
    <n v="247"/>
    <n v="3"/>
    <n v="741"/>
    <s v="Amazon Pay"/>
    <s v="In Transit"/>
    <s v="FedEx"/>
    <x v="11"/>
    <m/>
    <m/>
    <s v="no"/>
    <s v="Electronics"/>
    <s v="na"/>
    <s v="Emily Johnson"/>
    <s v="na"/>
    <s v="Smartwatch"/>
  </r>
  <r>
    <s v="ORD0013"/>
    <s v="CUST023"/>
    <s v="PROD006"/>
    <s v="Central"/>
    <n v="96"/>
    <n v="1"/>
    <n v="96"/>
    <s v="Apple Pay"/>
    <s v="Cancelled"/>
    <s v="Amazon Logistics"/>
    <x v="12"/>
    <m/>
    <d v="2023-02-28T00:00:00"/>
    <s v="yes"/>
    <s v="Fashion"/>
    <s v="na"/>
    <s v="Charlotte Reed"/>
    <s v="na"/>
    <s v="Shoes"/>
  </r>
  <r>
    <s v="ORD0014"/>
    <s v="CUST033"/>
    <s v="PROD017"/>
    <s v="West"/>
    <n v="74"/>
    <n v="5"/>
    <n v="370"/>
    <s v="Apple Pay"/>
    <s v="Cancelled"/>
    <s v="Amazon Logistics"/>
    <x v="13"/>
    <m/>
    <d v="2023-02-25T00:00:00"/>
    <s v="yes"/>
    <s v="Electronics"/>
    <s v="na"/>
    <s v="Hazel Rivera"/>
    <s v="na"/>
    <s v="Gaming Mouse"/>
  </r>
  <r>
    <s v="ORD0015"/>
    <s v="CUST033"/>
    <s v="PROD005"/>
    <s v="South"/>
    <n v="27"/>
    <n v="1"/>
    <n v="27"/>
    <s v="Credit Card"/>
    <s v="Cancelled"/>
    <s v="Amazon Logistics"/>
    <x v="14"/>
    <m/>
    <d v="2023-09-02T00:00:00"/>
    <s v="yes"/>
    <s v="Fashion"/>
    <s v="na"/>
    <s v="Hazel Rivera"/>
    <s v="na"/>
    <s v="T-Shirt"/>
  </r>
  <r>
    <s v="ORD0016"/>
    <s v="CUST047"/>
    <s v="PROD005"/>
    <s v="South"/>
    <n v="27"/>
    <n v="3"/>
    <n v="81"/>
    <s v="Debit Card"/>
    <s v="In Transit"/>
    <s v="Amazon Logistics"/>
    <x v="15"/>
    <m/>
    <m/>
    <s v="no"/>
    <s v="Fashion"/>
    <s v="na"/>
    <s v="Scarlett Murphy"/>
    <s v="na"/>
    <s v="T-Shirt"/>
  </r>
  <r>
    <s v="ORD0017"/>
    <s v="CUST045"/>
    <s v="PROD015"/>
    <s v="East"/>
    <n v="21"/>
    <n v="3"/>
    <n v="63"/>
    <s v="Credit Card"/>
    <s v="Delivered"/>
    <s v="DHL"/>
    <x v="16"/>
    <d v="2023-07-01T00:00:00"/>
    <m/>
    <s v="no"/>
    <s v="Books"/>
    <n v="3"/>
    <s v="Emily Johnson"/>
    <s v="slow"/>
    <s v="Novel"/>
  </r>
  <r>
    <s v="ORD0018"/>
    <s v="CUST011"/>
    <s v="PROD008"/>
    <s v="West"/>
    <n v="70"/>
    <n v="5"/>
    <n v="350"/>
    <s v="PayPal"/>
    <s v="In Transit"/>
    <s v="Amazon Logistics"/>
    <x v="17"/>
    <m/>
    <m/>
    <s v="no"/>
    <s v="Books"/>
    <s v="na"/>
    <s v="Mason Hall"/>
    <s v="na"/>
    <s v="Textbook"/>
  </r>
  <r>
    <s v="ORD0019"/>
    <s v="CUST041"/>
    <s v="PROD006"/>
    <s v="South"/>
    <n v="94"/>
    <n v="4"/>
    <n v="376"/>
    <s v="Credit Card"/>
    <s v="In Transit"/>
    <s v="USPS"/>
    <x v="18"/>
    <m/>
    <m/>
    <s v="no"/>
    <s v="Fashion"/>
    <s v="na"/>
    <s v="Jacob Price"/>
    <s v="na"/>
    <s v="Shoes"/>
  </r>
  <r>
    <s v="ORD0020"/>
    <s v="CUST025"/>
    <s v="PROD001"/>
    <s v="North"/>
    <n v="813"/>
    <n v="2"/>
    <n v="1626"/>
    <s v="Credit Card"/>
    <s v="In Transit"/>
    <s v="FedEx"/>
    <x v="19"/>
    <m/>
    <m/>
    <s v="no"/>
    <s v="Electronics"/>
    <s v="na"/>
    <s v="Emma King"/>
    <s v="na"/>
    <s v="Smartphone"/>
  </r>
  <r>
    <s v="ORD0021"/>
    <s v="CUST013"/>
    <s v="PROD015"/>
    <s v="Central"/>
    <n v="21"/>
    <n v="4"/>
    <n v="84"/>
    <s v="PayPal"/>
    <s v="In Transit"/>
    <s v="Amazon Logistics"/>
    <x v="20"/>
    <m/>
    <m/>
    <s v="no"/>
    <s v="Books"/>
    <s v="na"/>
    <s v="Olivia Martinez"/>
    <s v="na"/>
    <s v="Novel"/>
  </r>
  <r>
    <s v="ORD0022"/>
    <s v="CUST023"/>
    <s v="PROD012"/>
    <s v="West"/>
    <n v="46"/>
    <n v="5"/>
    <n v="230"/>
    <s v="PayPal"/>
    <s v="In Transit"/>
    <s v="USPS"/>
    <x v="21"/>
    <m/>
    <m/>
    <s v="no"/>
    <s v="Home"/>
    <s v="na"/>
    <s v="Charlotte Reed"/>
    <s v="na"/>
    <s v="Lamp"/>
  </r>
  <r>
    <s v="ORD0023"/>
    <s v="CUST016"/>
    <s v="PROD010"/>
    <s v="West"/>
    <n v="58"/>
    <n v="3"/>
    <n v="174"/>
    <s v="Amazon Pay"/>
    <s v="Cancelled"/>
    <s v="Amazon Logistics"/>
    <x v="15"/>
    <m/>
    <d v="2023-02-14T00:00:00"/>
    <s v="yes"/>
    <s v="Fashion"/>
    <s v="na"/>
    <s v="Elijah Lewis"/>
    <s v="na"/>
    <s v="Jeans"/>
  </r>
  <r>
    <s v="ORD0024"/>
    <s v="CUST028"/>
    <s v="PROD006"/>
    <s v="West"/>
    <n v="96"/>
    <n v="5"/>
    <n v="480"/>
    <s v="Amazon Pay"/>
    <s v="Delivered"/>
    <s v="Amazon Logistics"/>
    <x v="22"/>
    <d v="2023-11-05T00:00:00"/>
    <m/>
    <s v="no"/>
    <s v="Fashion"/>
    <n v="3"/>
    <s v="Lily Bennett"/>
    <s v="slow"/>
    <s v="Shoes"/>
  </r>
  <r>
    <s v="ORD0025"/>
    <s v="CUST040"/>
    <s v="PROD002"/>
    <s v="South"/>
    <n v="43"/>
    <n v="1"/>
    <n v="43"/>
    <s v="Debit Card"/>
    <s v="Delivered"/>
    <s v="Amazon Logistics"/>
    <x v="23"/>
    <d v="2023-05-30T00:00:00"/>
    <m/>
    <s v="no"/>
    <s v="Toys"/>
    <n v="2"/>
    <s v="Benjamin Clark"/>
    <s v="fast"/>
    <s v="Action Figure"/>
  </r>
  <r>
    <s v="ORD0026"/>
    <s v="CUST027"/>
    <s v="PROD022"/>
    <s v="South"/>
    <n v="64"/>
    <n v="4"/>
    <n v="256"/>
    <s v="Debit Card"/>
    <s v="Delivered"/>
    <s v="USPS"/>
    <x v="24"/>
    <d v="2023-10-21T00:00:00"/>
    <m/>
    <s v="no"/>
    <s v="Fashion"/>
    <n v="6"/>
    <s v="Hazel Brooks"/>
    <s v="slow"/>
    <s v="Backpack"/>
  </r>
  <r>
    <s v="ORD0027"/>
    <s v="CUST018"/>
    <s v="PROD008"/>
    <s v="South"/>
    <n v="70"/>
    <n v="2"/>
    <n v="140"/>
    <s v="Amazon Pay"/>
    <s v="In Transit"/>
    <s v="Amazon Logistics"/>
    <x v="25"/>
    <m/>
    <m/>
    <s v="no"/>
    <s v="Books"/>
    <s v="na"/>
    <s v="Grace Scott"/>
    <s v="na"/>
    <s v="Textbook"/>
  </r>
  <r>
    <s v="ORD0028"/>
    <s v="CUST018"/>
    <s v="PROD018"/>
    <s v="Central"/>
    <n v="97"/>
    <n v="3"/>
    <n v="291"/>
    <s v="Credit Card"/>
    <s v="In Transit"/>
    <s v="Amazon Logistics"/>
    <x v="26"/>
    <m/>
    <m/>
    <s v="no"/>
    <s v="Toys"/>
    <s v="na"/>
    <s v="Grace Scott"/>
    <s v="na"/>
    <s v="Doll House"/>
  </r>
  <r>
    <s v="ORD0029"/>
    <s v="CUST007"/>
    <s v="PROD021"/>
    <s v="East"/>
    <n v="37"/>
    <n v="3"/>
    <n v="111"/>
    <s v="Apple Pay"/>
    <s v="Cancelled"/>
    <s v="DHL"/>
    <x v="27"/>
    <m/>
    <d v="2023-10-10T00:00:00"/>
    <s v="yes"/>
    <s v="Home"/>
    <s v="na"/>
    <s v="Liam Walker"/>
    <s v="na"/>
    <s v="Wall Clock"/>
  </r>
  <r>
    <s v="ORD0030"/>
    <s v="CUST008"/>
    <s v="PROD008"/>
    <s v="North"/>
    <n v="69"/>
    <n v="5"/>
    <n v="345"/>
    <s v="Amazon Pay"/>
    <s v="In Transit"/>
    <s v="Amazon Logistics"/>
    <x v="28"/>
    <m/>
    <m/>
    <s v="no"/>
    <s v="Books"/>
    <s v="na"/>
    <s v="Harper Young"/>
    <s v="na"/>
    <s v="Textbook"/>
  </r>
  <r>
    <s v="ORD0031"/>
    <s v="CUST014"/>
    <s v="PROD002"/>
    <s v="North"/>
    <n v="42"/>
    <n v="5"/>
    <n v="210"/>
    <s v="Amazon Pay"/>
    <s v="In Transit"/>
    <s v="UPS"/>
    <x v="29"/>
    <m/>
    <m/>
    <s v="no"/>
    <s v="Toys"/>
    <s v="na"/>
    <s v="Harper Young"/>
    <s v="na"/>
    <s v="Action Figure"/>
  </r>
  <r>
    <s v="ORD0032"/>
    <s v="CUST037"/>
    <s v="PROD009"/>
    <s v="East"/>
    <n v="11"/>
    <n v="5"/>
    <n v="55"/>
    <s v="Debit Card"/>
    <s v="Cancelled"/>
    <s v="FedEx"/>
    <x v="30"/>
    <m/>
    <d v="2023-06-22T00:00:00"/>
    <s v="yes"/>
    <s v="Books"/>
    <s v="na"/>
    <s v="Emily Johnson"/>
    <s v="na"/>
    <s v="Magazine"/>
  </r>
  <r>
    <s v="ORD0033"/>
    <s v="CUST016"/>
    <s v="PROD005"/>
    <s v="South"/>
    <n v="27"/>
    <n v="2"/>
    <n v="54"/>
    <s v="Apple Pay"/>
    <s v="Delivered"/>
    <s v="USPS"/>
    <x v="31"/>
    <d v="2023-05-23T00:00:00"/>
    <m/>
    <s v="no"/>
    <s v="Fashion"/>
    <n v="1"/>
    <s v="Elijah Lewis"/>
    <s v="fast"/>
    <s v="T-Shirt"/>
  </r>
  <r>
    <s v="ORD0034"/>
    <s v="CUST025"/>
    <s v="PROD015"/>
    <s v="South"/>
    <n v="21"/>
    <n v="1"/>
    <n v="21"/>
    <s v="Amazon Pay"/>
    <s v="In Transit"/>
    <s v="DHL"/>
    <x v="32"/>
    <m/>
    <m/>
    <s v="no"/>
    <s v="Books"/>
    <s v="na"/>
    <s v="Emma King"/>
    <s v="na"/>
    <s v="Novel"/>
  </r>
  <r>
    <s v="ORD0035"/>
    <s v="CUST032"/>
    <s v="PROD011"/>
    <s v="South"/>
    <n v="172"/>
    <n v="1"/>
    <n v="172"/>
    <s v="PayPal"/>
    <s v="Delivered"/>
    <s v="USPS"/>
    <x v="33"/>
    <d v="2023-12-26T00:00:00"/>
    <m/>
    <s v="no"/>
    <s v="Electronics"/>
    <n v="4"/>
    <s v="Luke Gray"/>
    <s v="slow"/>
    <s v="Headphones"/>
  </r>
  <r>
    <s v="ORD0036"/>
    <s v="CUST014"/>
    <s v="PROD016"/>
    <s v="North"/>
    <n v="212"/>
    <n v="3"/>
    <n v="636"/>
    <s v="Amazon Pay"/>
    <s v="In Transit"/>
    <s v="UPS"/>
    <x v="34"/>
    <m/>
    <m/>
    <s v="no"/>
    <s v="Home"/>
    <s v="na"/>
    <s v="Harper Young"/>
    <s v="na"/>
    <s v="Cookware Set Pro"/>
  </r>
  <r>
    <s v="ORD0037"/>
    <s v="CUST044"/>
    <s v="PROD002"/>
    <s v="East"/>
    <n v="41"/>
    <n v="4"/>
    <n v="164"/>
    <s v="Credit Card"/>
    <s v="Delivered"/>
    <s v="Amazon Logistics"/>
    <x v="35"/>
    <d v="2023-10-22T00:00:00"/>
    <m/>
    <s v="no"/>
    <s v="Toys"/>
    <n v="5"/>
    <s v="Grace Ward"/>
    <s v="slow"/>
    <s v="Action Figure"/>
  </r>
  <r>
    <s v="ORD0038"/>
    <s v="CUST028"/>
    <s v="PROD007"/>
    <s v="North"/>
    <n v="32"/>
    <n v="2"/>
    <n v="64"/>
    <s v="Debit Card"/>
    <s v="Cancelled"/>
    <s v="FedEx"/>
    <x v="36"/>
    <m/>
    <d v="2023-08-24T00:00:00"/>
    <s v="yes"/>
    <s v="Toys"/>
    <s v="na"/>
    <s v="Lily Bennett"/>
    <s v="na"/>
    <s v="Puzzle"/>
  </r>
  <r>
    <s v="ORD0039"/>
    <s v="CUST024"/>
    <s v="PROD022"/>
    <s v="East"/>
    <n v="66"/>
    <n v="2"/>
    <n v="132"/>
    <s v="Apple Pay"/>
    <s v="In Transit"/>
    <s v="DHL"/>
    <x v="37"/>
    <m/>
    <m/>
    <s v="no"/>
    <s v="Fashion"/>
    <s v="na"/>
    <s v="Scarlett Murphy"/>
    <s v="na"/>
    <s v="Backpack"/>
  </r>
  <r>
    <s v="ORD0040"/>
    <s v="CUST006"/>
    <s v="PROD004"/>
    <s v="East"/>
    <n v="62"/>
    <n v="4"/>
    <n v="248"/>
    <s v="Debit Card"/>
    <s v="In Transit"/>
    <s v="UPS"/>
    <x v="38"/>
    <m/>
    <m/>
    <s v="no"/>
    <s v="Toys"/>
    <s v="na"/>
    <s v="Ava Robinson"/>
    <s v="na"/>
    <s v="Leg Set"/>
  </r>
  <r>
    <s v="ORD0041"/>
    <s v="CUST001"/>
    <s v="PROD011"/>
    <s v="West"/>
    <n v="173"/>
    <n v="4"/>
    <n v="692"/>
    <s v="Apple Pay"/>
    <s v="Delivered"/>
    <s v="UPS"/>
    <x v="39"/>
    <d v="2023-09-30T00:00:00"/>
    <m/>
    <s v="no"/>
    <s v="Electronics"/>
    <n v="7"/>
    <s v="James Miller"/>
    <s v="slow"/>
    <s v="Headphones"/>
  </r>
  <r>
    <s v="ORD0042"/>
    <s v="CUST007"/>
    <s v="PROD004"/>
    <s v="West"/>
    <n v="63"/>
    <n v="3"/>
    <n v="189"/>
    <s v="Apple Pay"/>
    <s v="Delivered"/>
    <s v="UPS"/>
    <x v="40"/>
    <d v="2023-07-18T00:00:00"/>
    <m/>
    <s v="no"/>
    <s v="Toys"/>
    <n v="2"/>
    <s v="Liam Walker"/>
    <s v="fast"/>
    <s v="Leg Set"/>
  </r>
  <r>
    <s v="ORD0043"/>
    <s v="CUST040"/>
    <s v="PROD021"/>
    <s v="West"/>
    <n v="36"/>
    <n v="3"/>
    <n v="108"/>
    <s v="Debit Card"/>
    <s v="Cancelled"/>
    <s v="USPS"/>
    <x v="41"/>
    <m/>
    <d v="2023-02-11T00:00:00"/>
    <s v="yes"/>
    <s v="Home"/>
    <s v="na"/>
    <s v="Benjamin Clark"/>
    <s v="na"/>
    <s v="Wall Clock"/>
  </r>
  <r>
    <s v="ORD0044"/>
    <s v="CUST006"/>
    <s v="PROD004"/>
    <s v="Central"/>
    <n v="62"/>
    <n v="1"/>
    <n v="62"/>
    <s v="Apple Pay"/>
    <s v="Cancelled"/>
    <s v="Amazon Logistics"/>
    <x v="42"/>
    <m/>
    <d v="2023-12-23T00:00:00"/>
    <s v="yes"/>
    <s v="Toys"/>
    <s v="na"/>
    <s v="Ava Robinson"/>
    <s v="na"/>
    <s v="Leg Set"/>
  </r>
  <r>
    <s v="ORD0045"/>
    <s v="CUST042"/>
    <s v="PROD003"/>
    <s v="Central"/>
    <n v="137"/>
    <n v="5"/>
    <n v="685"/>
    <s v="Amazon Pay"/>
    <s v="Cancelled"/>
    <s v="FedEx"/>
    <x v="43"/>
    <m/>
    <d v="2023-06-14T00:00:00"/>
    <s v="yes"/>
    <s v="Home"/>
    <s v="na"/>
    <s v="Noah Wilson"/>
    <s v="na"/>
    <s v="Cookware Set"/>
  </r>
  <r>
    <s v="ORD0046"/>
    <s v="CUST039"/>
    <s v="PROD017"/>
    <s v="North"/>
    <n v="73"/>
    <n v="4"/>
    <n v="292"/>
    <s v="Credit Card"/>
    <s v="Delivered"/>
    <s v="Amazon Logistics"/>
    <x v="44"/>
    <d v="2023-12-08T00:00:00"/>
    <m/>
    <s v="no"/>
    <s v="Electronics"/>
    <n v="4"/>
    <s v="Logan Ramirez"/>
    <s v="slow"/>
    <s v="Gaming Mouse"/>
  </r>
  <r>
    <s v="ORD0047"/>
    <s v="CUST041"/>
    <s v="PROD020"/>
    <s v="North"/>
    <n v="104"/>
    <n v="1"/>
    <n v="104"/>
    <s v="PayPal"/>
    <s v="Delivered"/>
    <s v="Amazon Logistics"/>
    <x v="45"/>
    <d v="2023-07-19T00:00:00"/>
    <m/>
    <s v="no"/>
    <s v="Electronics"/>
    <n v="2"/>
    <s v="Jacob Price"/>
    <s v="fast"/>
    <s v="Bluetooth Speaker"/>
  </r>
  <r>
    <s v="ORD0048"/>
    <s v="CUST044"/>
    <s v="PROD006"/>
    <s v="East"/>
    <n v="97"/>
    <n v="1"/>
    <n v="97"/>
    <s v="Amazon Pay"/>
    <s v="Delivered"/>
    <s v="FedEx"/>
    <x v="46"/>
    <d v="2023-10-24T00:00:00"/>
    <m/>
    <s v="no"/>
    <s v="Fashion"/>
    <n v="5"/>
    <s v="Grace Ward"/>
    <s v="slow"/>
    <s v="Shoes"/>
  </r>
  <r>
    <s v="ORD0049"/>
    <s v="CUST026"/>
    <s v="PROD017"/>
    <s v="South"/>
    <n v="73"/>
    <n v="5"/>
    <n v="365"/>
    <s v="Apple Pay"/>
    <s v="In Transit"/>
    <s v="Amazon Logistics"/>
    <x v="47"/>
    <m/>
    <m/>
    <s v="no"/>
    <s v="Electronics"/>
    <s v="na"/>
    <s v="Zoe Mitchell"/>
    <s v="na"/>
    <s v="Gaming Mouse"/>
  </r>
  <r>
    <s v="ORD0050"/>
    <s v="CUST040"/>
    <s v="PROD005"/>
    <s v="East"/>
    <n v="27"/>
    <n v="3"/>
    <n v="81"/>
    <s v="Amazon Pay"/>
    <s v="Delivered"/>
    <s v="UPS"/>
    <x v="48"/>
    <d v="2023-02-19T00:00:00"/>
    <m/>
    <s v="no"/>
    <s v="Fashion"/>
    <n v="7"/>
    <s v="Benjamin Clark"/>
    <s v="slow"/>
    <s v="T-Shirt"/>
  </r>
  <r>
    <s v="ORD0051"/>
    <s v="CUST041"/>
    <s v="PROD021"/>
    <s v="North"/>
    <n v="37"/>
    <n v="1"/>
    <n v="37"/>
    <s v="Apple Pay"/>
    <s v="In Transit"/>
    <s v="UPS"/>
    <x v="20"/>
    <m/>
    <m/>
    <s v="no"/>
    <s v="Home"/>
    <s v="na"/>
    <s v="Jacob Price"/>
    <s v="na"/>
    <s v="Wall Clock"/>
  </r>
  <r>
    <s v="ORD0052"/>
    <s v="CUST008"/>
    <s v="PROD015"/>
    <s v="North"/>
    <n v="22"/>
    <n v="1"/>
    <n v="22"/>
    <s v="Debit Card"/>
    <s v="Delivered"/>
    <s v="FedEx"/>
    <x v="49"/>
    <d v="2023-02-01T00:00:00"/>
    <m/>
    <s v="no"/>
    <s v="Books"/>
    <n v="2"/>
    <s v="Harper Young"/>
    <s v="fast"/>
    <s v="Novel"/>
  </r>
  <r>
    <s v="ORD0053"/>
    <s v="CUST011"/>
    <s v="PROD016"/>
    <s v="Central"/>
    <n v="218"/>
    <n v="5"/>
    <n v="1090"/>
    <s v="PayPal"/>
    <s v="Delivered"/>
    <s v="DHL"/>
    <x v="9"/>
    <d v="2024-01-01T00:00:00"/>
    <m/>
    <s v="no"/>
    <s v="Home"/>
    <n v="3"/>
    <s v="Mason Hall"/>
    <s v="slow"/>
    <s v="Cookware Set Pro"/>
  </r>
  <r>
    <s v="ORD0054"/>
    <s v="CUST018"/>
    <s v="PROD004"/>
    <s v="North"/>
    <n v="64"/>
    <n v="1"/>
    <n v="64"/>
    <s v="Apple Pay"/>
    <s v="Cancelled"/>
    <s v="USPS"/>
    <x v="50"/>
    <m/>
    <d v="2023-03-13T00:00:00"/>
    <s v="yes"/>
    <s v="Toys"/>
    <s v="na"/>
    <s v="Grace Scott"/>
    <s v="na"/>
    <s v="Leg Set"/>
  </r>
  <r>
    <s v="ORD0055"/>
    <s v="CUST037"/>
    <s v="PROD021"/>
    <s v="Central"/>
    <n v="36"/>
    <n v="4"/>
    <n v="144"/>
    <s v="PayPal"/>
    <s v="Delivered"/>
    <s v="Amazon Logistics"/>
    <x v="4"/>
    <d v="2023-02-06T00:00:00"/>
    <m/>
    <s v="no"/>
    <s v="Home"/>
    <n v="4"/>
    <s v="Emily Johnson"/>
    <s v="slow"/>
    <s v="Wall Clock"/>
  </r>
  <r>
    <s v="ORD0056"/>
    <s v="CUST017"/>
    <s v="PROD004"/>
    <s v="West"/>
    <n v="65"/>
    <n v="1"/>
    <n v="65"/>
    <s v="Amazon Pay"/>
    <s v="Delivered"/>
    <s v="FedEx"/>
    <x v="51"/>
    <d v="2023-10-21T00:00:00"/>
    <m/>
    <s v="no"/>
    <s v="Toys"/>
    <n v="3"/>
    <s v="Emma King"/>
    <s v="slow"/>
    <s v="Leg Set"/>
  </r>
  <r>
    <s v="ORD0057"/>
    <s v="CUST025"/>
    <s v="PROD005"/>
    <s v="Central"/>
    <n v="26"/>
    <n v="1"/>
    <n v="26"/>
    <s v="Apple Pay"/>
    <s v="Delivered"/>
    <s v="DHL"/>
    <x v="52"/>
    <d v="2023-01-09T00:00:00"/>
    <m/>
    <s v="no"/>
    <s v="Fashion"/>
    <n v="2"/>
    <s v="Emma King"/>
    <s v="fast"/>
    <s v="T-Shirt"/>
  </r>
  <r>
    <s v="ORD0058"/>
    <s v="CUST021"/>
    <s v="PROD009"/>
    <s v="North"/>
    <n v="11"/>
    <n v="5"/>
    <n v="55"/>
    <s v="Credit Card"/>
    <s v="In Transit"/>
    <s v="FedEx"/>
    <x v="53"/>
    <m/>
    <m/>
    <s v="no"/>
    <s v="Books"/>
    <s v="na"/>
    <s v="Zoe Mitchell"/>
    <s v="na"/>
    <s v="Magazine"/>
  </r>
  <r>
    <s v="ORD0059"/>
    <s v="CUST003"/>
    <s v="PROD013"/>
    <s v="North"/>
    <n v="195"/>
    <n v="4"/>
    <n v="780"/>
    <s v="PayPal"/>
    <s v="Cancelled"/>
    <s v="FedEx"/>
    <x v="54"/>
    <m/>
    <d v="2023-04-05T00:00:00"/>
    <s v="yes"/>
    <s v="Home"/>
    <s v="na"/>
    <s v="Ethan Davis"/>
    <s v="na"/>
    <s v="Vacuum Cleaner"/>
  </r>
  <r>
    <s v="ORD0060"/>
    <s v="CUST019"/>
    <s v="PROD019"/>
    <s v="West"/>
    <n v="44"/>
    <n v="5"/>
    <n v="220"/>
    <s v="Apple Pay"/>
    <s v="Cancelled"/>
    <s v="USPS"/>
    <x v="2"/>
    <m/>
    <d v="2023-10-12T00:00:00"/>
    <s v="yes"/>
    <s v="Fashion"/>
    <s v="na"/>
    <s v="Ava Robinson"/>
    <s v="na"/>
    <s v="Formal Shirt"/>
  </r>
  <r>
    <s v="ORD0061"/>
    <s v="CUST035"/>
    <s v="PROD008"/>
    <s v="East"/>
    <n v="69"/>
    <n v="4"/>
    <n v="276"/>
    <s v="Debit Card"/>
    <s v="In Transit"/>
    <s v="DHL"/>
    <x v="55"/>
    <m/>
    <m/>
    <s v="no"/>
    <s v="Books"/>
    <s v="na"/>
    <s v="Scarlett Adams"/>
    <s v="na"/>
    <s v="Textbook"/>
  </r>
  <r>
    <s v="ORD0062"/>
    <s v="CUST022"/>
    <s v="PROD001"/>
    <s v="North"/>
    <n v="815"/>
    <n v="4"/>
    <n v="3260"/>
    <s v="Credit Card"/>
    <s v="Delivered"/>
    <s v="USPS"/>
    <x v="56"/>
    <d v="2023-11-29T00:00:00"/>
    <m/>
    <s v="no"/>
    <s v="Electronics"/>
    <n v="7"/>
    <s v="Elijah Lewis"/>
    <s v="slow"/>
    <s v="Smartphone"/>
  </r>
  <r>
    <s v="ORD0063"/>
    <s v="CUST004"/>
    <s v="PROD005"/>
    <s v="East"/>
    <n v="27"/>
    <n v="1"/>
    <n v="27"/>
    <s v="Debit Card"/>
    <s v="In Transit"/>
    <s v="Amazon Logistics"/>
    <x v="57"/>
    <m/>
    <m/>
    <s v="no"/>
    <s v="Fashion"/>
    <s v="na"/>
    <s v="Noah Wilson"/>
    <s v="na"/>
    <s v="T-Shirt"/>
  </r>
  <r>
    <s v="ORD0064"/>
    <s v="CUST048"/>
    <s v="PROD003"/>
    <s v="West"/>
    <n v="139"/>
    <n v="5"/>
    <n v="695"/>
    <s v="Apple Pay"/>
    <s v="Delivered"/>
    <s v="USPS"/>
    <x v="38"/>
    <d v="2023-12-29T00:00:00"/>
    <m/>
    <s v="no"/>
    <s v="Home"/>
    <n v="4"/>
    <s v="Noah Wilson"/>
    <s v="slow"/>
    <s v="Cookware Set"/>
  </r>
  <r>
    <s v="ORD0065"/>
    <s v="CUST009"/>
    <s v="PROD008"/>
    <s v="South"/>
    <n v="69"/>
    <n v="3"/>
    <n v="207"/>
    <s v="PayPal"/>
    <s v="Cancelled"/>
    <s v="Amazon Logistics"/>
    <x v="51"/>
    <m/>
    <d v="2023-10-20T00:00:00"/>
    <s v="yes"/>
    <s v="Books"/>
    <s v="na"/>
    <s v="Jackson Allen"/>
    <s v="na"/>
    <s v="Textbook"/>
  </r>
  <r>
    <s v="ORD0066"/>
    <s v="CUST009"/>
    <s v="PROD019"/>
    <s v="West"/>
    <n v="42"/>
    <n v="1"/>
    <n v="42"/>
    <s v="Apple Pay"/>
    <s v="Cancelled"/>
    <s v="DHL"/>
    <x v="58"/>
    <m/>
    <d v="2023-05-21T00:00:00"/>
    <s v="yes"/>
    <s v="Fashion"/>
    <s v="na"/>
    <s v="Jackson Allen"/>
    <s v="na"/>
    <s v="Formal Shirt"/>
  </r>
  <r>
    <s v="ORD0067"/>
    <s v="CUST050"/>
    <s v="PROD007"/>
    <s v="North"/>
    <n v="31"/>
    <n v="4"/>
    <n v="124"/>
    <s v="Credit Card"/>
    <s v="Delivered"/>
    <s v="UPS"/>
    <x v="59"/>
    <d v="2023-07-30T00:00:00"/>
    <m/>
    <s v="no"/>
    <s v="Toys"/>
    <n v="2"/>
    <s v="not found"/>
    <s v="fast"/>
    <s v="Puzzle"/>
  </r>
  <r>
    <s v="ORD0068"/>
    <s v="CUST045"/>
    <s v="PROD020"/>
    <s v="West"/>
    <n v="104"/>
    <n v="3"/>
    <n v="312"/>
    <s v="Credit Card"/>
    <s v="In Transit"/>
    <s v="UPS"/>
    <x v="42"/>
    <m/>
    <m/>
    <s v="no"/>
    <s v="Electronics"/>
    <s v="na"/>
    <s v="Emily Johnson"/>
    <s v="na"/>
    <s v="Bluetooth Speaker"/>
  </r>
  <r>
    <s v="ORD0069"/>
    <s v="CUST044"/>
    <s v="PROD010"/>
    <s v="East"/>
    <n v="58"/>
    <n v="2"/>
    <n v="116"/>
    <s v="Apple Pay"/>
    <s v="Cancelled"/>
    <s v="USPS"/>
    <x v="60"/>
    <m/>
    <d v="2023-07-07T00:00:00"/>
    <s v="yes"/>
    <s v="Fashion"/>
    <s v="na"/>
    <s v="Grace Ward"/>
    <s v="na"/>
    <s v="Jeans"/>
  </r>
  <r>
    <s v="ORD0070"/>
    <s v="CUST009"/>
    <s v="PROD004"/>
    <s v="West"/>
    <n v="62"/>
    <n v="2"/>
    <n v="124"/>
    <s v="Debit Card"/>
    <s v="Cancelled"/>
    <s v="DHL"/>
    <x v="26"/>
    <m/>
    <d v="2023-10-10T00:00:00"/>
    <s v="yes"/>
    <s v="Toys"/>
    <s v="na"/>
    <s v="Jackson Allen"/>
    <s v="na"/>
    <s v="Leg Set"/>
  </r>
  <r>
    <s v="ORD0071"/>
    <s v="CUST006"/>
    <s v="PROD019"/>
    <s v="East"/>
    <n v="43"/>
    <n v="1"/>
    <n v="43"/>
    <s v="Credit Card"/>
    <s v="Delivered"/>
    <s v="Amazon Logistics"/>
    <x v="42"/>
    <d v="2023-12-25T00:00:00"/>
    <m/>
    <s v="no"/>
    <s v="Fashion"/>
    <n v="7"/>
    <s v="Ava Robinson"/>
    <s v="slow"/>
    <s v="Formal Shirt"/>
  </r>
  <r>
    <s v="ORD0072"/>
    <s v="CUST022"/>
    <s v="PROD004"/>
    <s v="East"/>
    <n v="62"/>
    <n v="4"/>
    <n v="248"/>
    <s v="Debit Card"/>
    <s v="In Transit"/>
    <s v="Amazon Logistics"/>
    <x v="61"/>
    <m/>
    <m/>
    <s v="no"/>
    <s v="Toys"/>
    <s v="na"/>
    <s v="Elijah Lewis"/>
    <s v="na"/>
    <s v="Leg Set"/>
  </r>
  <r>
    <s v="ORD0073"/>
    <s v="CUST028"/>
    <s v="PROD006"/>
    <s v="North"/>
    <n v="95"/>
    <n v="2"/>
    <n v="190"/>
    <s v="PayPal"/>
    <s v="Cancelled"/>
    <s v="UPS"/>
    <x v="62"/>
    <m/>
    <d v="2023-07-25T00:00:00"/>
    <s v="yes"/>
    <s v="Fashion"/>
    <s v="na"/>
    <s v="Lily Bennett"/>
    <s v="na"/>
    <s v="Shoes"/>
  </r>
  <r>
    <s v="ORD0074"/>
    <s v="CUST016"/>
    <s v="PROD021"/>
    <s v="Central"/>
    <n v="36"/>
    <n v="4"/>
    <n v="144"/>
    <s v="Apple Pay"/>
    <s v="Delivered"/>
    <s v="FedEx"/>
    <x v="63"/>
    <d v="2023-01-24T00:00:00"/>
    <m/>
    <s v="no"/>
    <s v="Home"/>
    <n v="6"/>
    <s v="Elijah Lewis"/>
    <s v="slow"/>
    <s v="Wall Clock"/>
  </r>
  <r>
    <s v="ORD0075"/>
    <s v="CUST042"/>
    <s v="PROD017"/>
    <s v="East"/>
    <n v="73"/>
    <n v="5"/>
    <n v="365"/>
    <s v="Apple Pay"/>
    <s v="In Transit"/>
    <s v="DHL"/>
    <x v="64"/>
    <m/>
    <m/>
    <s v="no"/>
    <s v="Electronics"/>
    <s v="na"/>
    <s v="Noah Wilson"/>
    <s v="na"/>
    <s v="Gaming Mouse"/>
  </r>
  <r>
    <s v="ORD0076"/>
    <s v="CUST023"/>
    <s v="PROD019"/>
    <s v="North"/>
    <n v="43"/>
    <n v="4"/>
    <n v="172"/>
    <s v="Debit Card"/>
    <s v="Delivered"/>
    <s v="DHL"/>
    <x v="65"/>
    <d v="2023-09-09T00:00:00"/>
    <m/>
    <s v="no"/>
    <s v="Fashion"/>
    <n v="6"/>
    <s v="Charlotte Reed"/>
    <s v="slow"/>
    <s v="Formal Shirt"/>
  </r>
  <r>
    <s v="ORD0077"/>
    <s v="CUST004"/>
    <s v="PROD016"/>
    <s v="West"/>
    <n v="214"/>
    <n v="5"/>
    <n v="1070"/>
    <s v="Debit Card"/>
    <s v="Delivered"/>
    <s v="UPS"/>
    <x v="22"/>
    <d v="2023-11-04T00:00:00"/>
    <m/>
    <s v="no"/>
    <s v="Home"/>
    <n v="2"/>
    <s v="Noah Wilson"/>
    <s v="fast"/>
    <s v="Cookware Set Pro"/>
  </r>
  <r>
    <s v="ORD0078"/>
    <s v="CUST048"/>
    <s v="PROD002"/>
    <s v="Central"/>
    <n v="42"/>
    <n v="2"/>
    <n v="84"/>
    <s v="Apple Pay"/>
    <s v="Cancelled"/>
    <s v="UPS"/>
    <x v="66"/>
    <m/>
    <d v="2023-12-06T00:00:00"/>
    <s v="yes"/>
    <s v="Toys"/>
    <s v="na"/>
    <s v="Noah Wilson"/>
    <s v="na"/>
    <s v="Action Figure"/>
  </r>
  <r>
    <s v="ORD0079"/>
    <s v="CUST048"/>
    <s v="PROD012"/>
    <s v="North"/>
    <n v="46"/>
    <n v="1"/>
    <n v="46"/>
    <s v="Amazon Pay"/>
    <s v="In Transit"/>
    <s v="UPS"/>
    <x v="7"/>
    <m/>
    <m/>
    <s v="no"/>
    <s v="Home"/>
    <s v="na"/>
    <s v="Noah Wilson"/>
    <s v="na"/>
    <s v="Lamp"/>
  </r>
  <r>
    <s v="ORD0080"/>
    <s v="CUST032"/>
    <s v="PROD018"/>
    <s v="East"/>
    <n v="95"/>
    <n v="4"/>
    <n v="380"/>
    <s v="Credit Card"/>
    <s v="Delivered"/>
    <s v="UPS"/>
    <x v="67"/>
    <d v="2023-10-19T00:00:00"/>
    <m/>
    <s v="no"/>
    <s v="Toys"/>
    <n v="3"/>
    <s v="Luke Gray"/>
    <s v="slow"/>
    <s v="Doll House"/>
  </r>
  <r>
    <s v="ORD0081"/>
    <s v="CUST001"/>
    <s v="PROD011"/>
    <s v="West"/>
    <n v="174"/>
    <n v="2"/>
    <n v="348"/>
    <s v="PayPal"/>
    <s v="In Transit"/>
    <s v="UPS"/>
    <x v="68"/>
    <m/>
    <m/>
    <s v="no"/>
    <s v="Electronics"/>
    <s v="na"/>
    <s v="James Miller"/>
    <s v="na"/>
    <s v="Headphones"/>
  </r>
  <r>
    <s v="ORD0082"/>
    <s v="CUST046"/>
    <s v="PROD005"/>
    <s v="North"/>
    <n v="27"/>
    <n v="5"/>
    <n v="135"/>
    <s v="Credit Card"/>
    <s v="Cancelled"/>
    <s v="Amazon Logistics"/>
    <x v="30"/>
    <m/>
    <d v="2023-06-18T00:00:00"/>
    <s v="yes"/>
    <s v="Fashion"/>
    <s v="na"/>
    <s v="Emily Johnson"/>
    <s v="na"/>
    <s v="T-Shirt"/>
  </r>
  <r>
    <s v="ORD0083"/>
    <s v="CUST021"/>
    <s v="PROD005"/>
    <s v="South"/>
    <n v="27"/>
    <n v="4"/>
    <n v="108"/>
    <s v="PayPal"/>
    <s v="Delivered"/>
    <s v="USPS"/>
    <x v="69"/>
    <d v="2023-10-30T00:00:00"/>
    <m/>
    <s v="no"/>
    <s v="Fashion"/>
    <n v="2"/>
    <s v="Zoe Mitchell"/>
    <s v="fast"/>
    <s v="T-Shirt"/>
  </r>
  <r>
    <s v="ORD0084"/>
    <s v="CUST015"/>
    <s v="PROD022"/>
    <s v="South"/>
    <n v="65"/>
    <n v="2"/>
    <n v="130"/>
    <s v="PayPal"/>
    <s v="In Transit"/>
    <s v="DHL"/>
    <x v="33"/>
    <m/>
    <m/>
    <s v="no"/>
    <s v="Fashion"/>
    <s v="na"/>
    <s v="Ava White"/>
    <s v="na"/>
    <s v="Backpack"/>
  </r>
  <r>
    <s v="ORD0085"/>
    <s v="CUST045"/>
    <s v="PROD019"/>
    <s v="East"/>
    <n v="43"/>
    <n v="5"/>
    <n v="215"/>
    <s v="Debit Card"/>
    <s v="In Transit"/>
    <s v="DHL"/>
    <x v="61"/>
    <m/>
    <m/>
    <s v="no"/>
    <s v="Fashion"/>
    <s v="na"/>
    <s v="Emily Johnson"/>
    <s v="na"/>
    <s v="Formal Shirt"/>
  </r>
  <r>
    <s v="ORD0086"/>
    <s v="CUST007"/>
    <s v="PROD016"/>
    <s v="West"/>
    <n v="210"/>
    <n v="1"/>
    <n v="210"/>
    <s v="PayPal"/>
    <s v="In Transit"/>
    <s v="UPS"/>
    <x v="70"/>
    <m/>
    <m/>
    <s v="no"/>
    <s v="Home"/>
    <s v="na"/>
    <s v="Liam Walker"/>
    <s v="na"/>
    <s v="Cookware Set Pro"/>
  </r>
  <r>
    <s v="ORD0087"/>
    <s v="CUST043"/>
    <s v="PROD021"/>
    <s v="South"/>
    <n v="37"/>
    <n v="3"/>
    <n v="111"/>
    <s v="Credit Card"/>
    <s v="In Transit"/>
    <s v="UPS"/>
    <x v="56"/>
    <m/>
    <m/>
    <s v="no"/>
    <s v="Home"/>
    <s v="na"/>
    <s v="Lily Reed"/>
    <s v="na"/>
    <s v="Wall Clock"/>
  </r>
  <r>
    <s v="ORD0088"/>
    <s v="CUST007"/>
    <s v="PROD001"/>
    <s v="South"/>
    <n v="788"/>
    <n v="4"/>
    <n v="3152"/>
    <s v="Debit Card"/>
    <s v="In Transit"/>
    <s v="Amazon Logistics"/>
    <x v="53"/>
    <m/>
    <m/>
    <s v="no"/>
    <s v="Electronics"/>
    <s v="na"/>
    <s v="Liam Walker"/>
    <s v="na"/>
    <s v="Smartphone"/>
  </r>
  <r>
    <s v="ORD0089"/>
    <s v="CUST007"/>
    <s v="PROD016"/>
    <s v="West"/>
    <n v="217"/>
    <n v="5"/>
    <n v="1085"/>
    <s v="Debit Card"/>
    <s v="In Transit"/>
    <s v="FedEx"/>
    <x v="71"/>
    <m/>
    <m/>
    <s v="no"/>
    <s v="Home"/>
    <s v="na"/>
    <s v="Liam Walker"/>
    <s v="na"/>
    <s v="Cookware Set Pro"/>
  </r>
  <r>
    <s v="ORD0090"/>
    <s v="CUST007"/>
    <s v="PROD003"/>
    <s v="West"/>
    <n v="138"/>
    <n v="4"/>
    <n v="552"/>
    <s v="Credit Card"/>
    <s v="In Transit"/>
    <s v="FedEx"/>
    <x v="63"/>
    <m/>
    <m/>
    <s v="no"/>
    <s v="Home"/>
    <s v="na"/>
    <s v="Liam Walker"/>
    <s v="na"/>
    <s v="Cookware Set"/>
  </r>
  <r>
    <s v="ORD0091"/>
    <s v="CUST031"/>
    <s v="PROD001"/>
    <s v="Central"/>
    <n v="803"/>
    <n v="2"/>
    <n v="1606"/>
    <s v="Apple Pay"/>
    <s v="Delivered"/>
    <s v="FedEx"/>
    <x v="72"/>
    <d v="2023-06-29T00:00:00"/>
    <m/>
    <s v="no"/>
    <s v="Electronics"/>
    <n v="6"/>
    <s v="Mason Collins"/>
    <s v="slow"/>
    <s v="Smartphone"/>
  </r>
  <r>
    <s v="ORD0092"/>
    <s v="CUST013"/>
    <s v="PROD014"/>
    <s v="North"/>
    <n v="248"/>
    <n v="5"/>
    <n v="1240"/>
    <s v="PayPal"/>
    <s v="Cancelled"/>
    <s v="UPS"/>
    <x v="73"/>
    <m/>
    <d v="2023-02-25T00:00:00"/>
    <s v="yes"/>
    <s v="Electronics"/>
    <s v="na"/>
    <s v="Olivia Martinez"/>
    <s v="na"/>
    <s v="Smartwatch"/>
  </r>
  <r>
    <s v="ORD0093"/>
    <s v="CUST036"/>
    <s v="PROD016"/>
    <s v="East"/>
    <n v="210"/>
    <n v="3"/>
    <n v="630"/>
    <s v="Apple Pay"/>
    <s v="Delivered"/>
    <s v="DHL"/>
    <x v="74"/>
    <d v="2023-02-21T00:00:00"/>
    <m/>
    <s v="no"/>
    <s v="Home"/>
    <n v="2"/>
    <s v="Ethan Davis"/>
    <s v="fast"/>
    <s v="Cookware Set Pro"/>
  </r>
  <r>
    <s v="ORD0094"/>
    <s v="CUST013"/>
    <s v="PROD004"/>
    <s v="North"/>
    <n v="62"/>
    <n v="2"/>
    <n v="124"/>
    <s v="Credit Card"/>
    <s v="Cancelled"/>
    <s v="FedEx"/>
    <x v="75"/>
    <m/>
    <d v="2023-12-12T00:00:00"/>
    <s v="yes"/>
    <s v="Toys"/>
    <s v="na"/>
    <s v="Olivia Martinez"/>
    <s v="na"/>
    <s v="Leg Set"/>
  </r>
  <r>
    <s v="ORD0095"/>
    <s v="CUST043"/>
    <s v="PROD009"/>
    <s v="South"/>
    <n v="11"/>
    <n v="5"/>
    <n v="55"/>
    <s v="Debit Card"/>
    <s v="Cancelled"/>
    <s v="Amazon Logistics"/>
    <x v="76"/>
    <m/>
    <d v="2023-06-12T00:00:00"/>
    <s v="yes"/>
    <s v="Books"/>
    <s v="na"/>
    <s v="Lily Reed"/>
    <s v="na"/>
    <s v="Magazine"/>
  </r>
  <r>
    <s v="ORD0096"/>
    <s v="CUST017"/>
    <s v="PROD015"/>
    <s v="North"/>
    <n v="21"/>
    <n v="2"/>
    <n v="42"/>
    <s v="Amazon Pay"/>
    <s v="Delivered"/>
    <s v="UPS"/>
    <x v="77"/>
    <d v="2023-07-12T00:00:00"/>
    <m/>
    <s v="no"/>
    <s v="Books"/>
    <n v="3"/>
    <s v="Emma King"/>
    <s v="slow"/>
    <s v="Novel"/>
  </r>
  <r>
    <s v="ORD0097"/>
    <s v="CUST023"/>
    <s v="PROD018"/>
    <s v="West"/>
    <n v="95"/>
    <n v="5"/>
    <n v="475"/>
    <s v="Amazon Pay"/>
    <s v="Delivered"/>
    <s v="Amazon Logistics"/>
    <x v="78"/>
    <d v="2023-12-26T00:00:00"/>
    <m/>
    <s v="no"/>
    <s v="Toys"/>
    <n v="3"/>
    <s v="Charlotte Reed"/>
    <s v="slow"/>
    <s v="Doll House"/>
  </r>
  <r>
    <s v="ORD0098"/>
    <s v="CUST044"/>
    <s v="PROD016"/>
    <s v="South"/>
    <n v="215"/>
    <n v="2"/>
    <n v="430"/>
    <s v="PayPal"/>
    <s v="Delivered"/>
    <s v="Amazon Logistics"/>
    <x v="79"/>
    <d v="2023-09-30T00:00:00"/>
    <m/>
    <s v="no"/>
    <s v="Home"/>
    <n v="5"/>
    <s v="Grace Ward"/>
    <s v="slow"/>
    <s v="Cookware Set Pro"/>
  </r>
  <r>
    <s v="ORD0099"/>
    <s v="CUST034"/>
    <s v="PROD019"/>
    <s v="West"/>
    <n v="43"/>
    <n v="5"/>
    <n v="215"/>
    <s v="Credit Card"/>
    <s v="Cancelled"/>
    <s v="UPS"/>
    <x v="63"/>
    <m/>
    <d v="2023-01-24T00:00:00"/>
    <s v="yes"/>
    <s v="Fashion"/>
    <s v="na"/>
    <s v="Lily Simmons"/>
    <s v="na"/>
    <s v="Formal Shirt"/>
  </r>
  <r>
    <s v="ORD0100"/>
    <s v="CUST009"/>
    <s v="PROD002"/>
    <s v="West"/>
    <n v="42"/>
    <n v="4"/>
    <n v="168"/>
    <s v="Debit Card"/>
    <s v="In Transit"/>
    <s v="DHL"/>
    <x v="80"/>
    <m/>
    <m/>
    <s v="no"/>
    <s v="Toys"/>
    <s v="na"/>
    <s v="Jackson Allen"/>
    <s v="na"/>
    <s v="Action Figure"/>
  </r>
  <r>
    <m/>
    <m/>
    <m/>
    <m/>
    <m/>
    <m/>
    <m/>
    <m/>
    <m/>
    <m/>
    <x v="81"/>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BA64DA-BF2E-43B6-B345-00C8FB7D65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6">
    <pivotField showAll="0"/>
    <pivotField showAll="0"/>
    <pivotField showAll="0"/>
    <pivotField axis="axisRow" showAll="0">
      <items count="6">
        <item x="3"/>
        <item x="1"/>
        <item x="0"/>
        <item x="2"/>
        <item x="4"/>
        <item t="default"/>
      </items>
    </pivotField>
    <pivotField showAll="0">
      <items count="55">
        <item x="23"/>
        <item x="13"/>
        <item x="36"/>
        <item x="39"/>
        <item x="12"/>
        <item x="43"/>
        <item x="27"/>
        <item x="32"/>
        <item x="7"/>
        <item x="26"/>
        <item x="22"/>
        <item x="18"/>
        <item x="0"/>
        <item x="17"/>
        <item x="5"/>
        <item x="4"/>
        <item x="29"/>
        <item x="31"/>
        <item x="19"/>
        <item x="38"/>
        <item x="28"/>
        <item x="21"/>
        <item x="14"/>
        <item x="34"/>
        <item x="11"/>
        <item x="15"/>
        <item x="44"/>
        <item x="1"/>
        <item x="20"/>
        <item x="35"/>
        <item x="6"/>
        <item x="33"/>
        <item x="50"/>
        <item x="42"/>
        <item x="8"/>
        <item x="24"/>
        <item x="30"/>
        <item x="46"/>
        <item x="2"/>
        <item x="40"/>
        <item x="3"/>
        <item x="47"/>
        <item x="25"/>
        <item x="45"/>
        <item x="53"/>
        <item x="49"/>
        <item x="37"/>
        <item x="10"/>
        <item x="52"/>
        <item x="9"/>
        <item x="48"/>
        <item x="51"/>
        <item x="16"/>
        <item x="41"/>
        <item t="default"/>
      </items>
    </pivotField>
    <pivotField showAll="0"/>
    <pivotField dataField="1" showAll="0"/>
    <pivotField showAll="0"/>
    <pivotField showAll="0"/>
    <pivotField showAll="0"/>
    <pivotField numFmtId="14" showAll="0"/>
    <pivotField showAll="0"/>
    <pivotField showAll="0"/>
    <pivotField showAll="0"/>
    <pivotField axis="axisCol" showAll="0">
      <items count="6">
        <item x="4"/>
        <item x="3"/>
        <item x="2"/>
        <item x="0"/>
        <item x="1"/>
        <item t="default"/>
      </items>
    </pivotField>
    <pivotField showAll="0"/>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8B4EF-FDFF-40AA-8D86-F07EF193CB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2" colPageCount="1"/>
  <pivotFields count="16">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pivotField showAll="0"/>
    <pivotField numFmtId="14" showAll="0"/>
    <pivotField showAll="0"/>
    <pivotField showAll="0"/>
    <pivotField showAll="0"/>
    <pivotField axis="axisPage" showAll="0">
      <items count="6">
        <item x="4"/>
        <item x="3"/>
        <item x="2"/>
        <item x="0"/>
        <item x="1"/>
        <item t="default"/>
      </items>
    </pivotField>
    <pivotField dataField="1" showAll="0"/>
  </pivotFields>
  <rowFields count="1">
    <field x="3"/>
  </rowFields>
  <rowItems count="6">
    <i>
      <x/>
    </i>
    <i>
      <x v="1"/>
    </i>
    <i>
      <x v="2"/>
    </i>
    <i>
      <x v="3"/>
    </i>
    <i>
      <x v="4"/>
    </i>
    <i t="grand">
      <x/>
    </i>
  </rowItems>
  <colItems count="1">
    <i/>
  </colItems>
  <pageFields count="2">
    <pageField fld="14" hier="-1"/>
    <pageField fld="7" hier="-1"/>
  </pageFields>
  <dataFields count="1">
    <dataField name="Average of Average delivery time" fld="15" subtotal="average" baseField="0" baseItem="0"/>
  </dataFields>
  <formats count="5">
    <format dxfId="304">
      <pivotArea collapsedLevelsAreSubtotals="1" fieldPosition="0">
        <references count="1">
          <reference field="3" count="1">
            <x v="0"/>
          </reference>
        </references>
      </pivotArea>
    </format>
    <format dxfId="303">
      <pivotArea collapsedLevelsAreSubtotals="1" fieldPosition="0">
        <references count="1">
          <reference field="3" count="1">
            <x v="1"/>
          </reference>
        </references>
      </pivotArea>
    </format>
    <format dxfId="302">
      <pivotArea collapsedLevelsAreSubtotals="1" fieldPosition="0">
        <references count="1">
          <reference field="3" count="1">
            <x v="2"/>
          </reference>
        </references>
      </pivotArea>
    </format>
    <format dxfId="301">
      <pivotArea collapsedLevelsAreSubtotals="1" fieldPosition="0">
        <references count="1">
          <reference field="3" count="1">
            <x v="3"/>
          </reference>
        </references>
      </pivotArea>
    </format>
    <format dxfId="300">
      <pivotArea collapsedLevelsAreSubtotals="1" fieldPosition="0">
        <references count="1">
          <reference field="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8B0238-2814-4EAA-A981-0AEB40820F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8122BC-5124-44C2-9E12-D283298FD8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9">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axis="axisCol" showAll="0">
      <items count="3">
        <item x="1"/>
        <item x="0"/>
        <item t="default"/>
      </items>
    </pivotField>
    <pivotField showAll="0"/>
    <pivotField showAll="0"/>
    <pivotField showAll="0"/>
    <pivotField showAll="0">
      <items count="4">
        <item x="1"/>
        <item x="0"/>
        <item x="2"/>
        <item t="default"/>
      </items>
    </pivotField>
    <pivotField dragToRow="0" dragToCol="0" dragToPage="0" showAll="0" defaultSubtotal="0"/>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FB5BC-5B8E-4D51-9F28-8EADF673C6A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9">
    <pivotField showAll="0"/>
    <pivotField showAll="0"/>
    <pivotField showAll="0"/>
    <pivotField showAll="0"/>
    <pivotField showAll="0"/>
    <pivotField showAll="0"/>
    <pivotField dataField="1"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items count="4">
        <item x="1"/>
        <item x="0"/>
        <item x="2"/>
        <item t="default"/>
      </items>
    </pivotField>
    <pivotField dragToRow="0" dragToCol="0" dragToPage="0" showAll="0" defaultSubtotal="0"/>
  </pivotFields>
  <rowItems count="1">
    <i/>
  </rowItems>
  <colItems count="1">
    <i/>
  </colItems>
  <pageFields count="1">
    <pageField fld="8" item="1"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11B858-87E7-467A-BEC4-D47DB04C561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items count="4">
        <item x="1"/>
        <item x="0"/>
        <item x="2"/>
        <item t="default"/>
      </items>
    </pivotField>
    <pivotField dragToRow="0" dragToCol="0" dragToPage="0" showAll="0" defaultSubtota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6F0F9A-6C76-46B3-90CF-0EF3A9F76FB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showAll="0">
      <items count="4">
        <item x="1"/>
        <item x="0"/>
        <item x="2"/>
        <item t="default"/>
      </items>
    </pivotField>
    <pivotField dragToRow="0" dragToCol="0" dragToPage="0" showAll="0" defaultSubtotal="0"/>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60DEDC-2A4E-448F-AE2D-8190B801C2B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items count="4">
        <item x="1"/>
        <item x="0"/>
        <item x="2"/>
        <item t="default"/>
      </items>
    </pivotField>
    <pivotField dragToRow="0" dragToCol="0" dragToPage="0" showAll="0" defaultSubtota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08C466-16B4-4718-8F4A-D673A89EB3F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9">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s>
  <rowFields count="1">
    <field x="18"/>
  </rowFields>
  <rowItems count="3">
    <i>
      <x v="11"/>
    </i>
    <i>
      <x v="19"/>
    </i>
    <i t="grand">
      <x/>
    </i>
  </rowItems>
  <colItems count="1">
    <i/>
  </colItems>
  <dataFields count="1">
    <dataField name="Count of Total Amount" fld="6" subtotal="count" baseField="18" baseItem="11"/>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CA850C-3B26-4F15-B693-A60A47CC221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9">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6">
    <i>
      <x/>
    </i>
    <i>
      <x v="1"/>
    </i>
    <i>
      <x v="2"/>
    </i>
    <i>
      <x v="3"/>
    </i>
    <i>
      <x v="4"/>
    </i>
    <i t="grand">
      <x/>
    </i>
  </rowItems>
  <colItems count="1">
    <i/>
  </colItems>
  <dataFields count="1">
    <dataField name="Sum of Total Amount" fld="6" baseField="0" baseItem="0"/>
  </dataFields>
  <chartFormats count="2">
    <chartFormat chart="1"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53F74-FB6A-464F-B15F-A67B39F1519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9">
    <pivotField showAll="0"/>
    <pivotField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7"/>
  </rowFields>
  <rowItems count="6">
    <i>
      <x/>
    </i>
    <i>
      <x v="1"/>
    </i>
    <i>
      <x v="2"/>
    </i>
    <i>
      <x v="3"/>
    </i>
    <i>
      <x v="4"/>
    </i>
    <i t="grand">
      <x/>
    </i>
  </rowItems>
  <colItems count="1">
    <i/>
  </colItems>
  <dataFields count="1">
    <dataField name="Sum of Total Amount" fld="6" baseField="0" baseItem="0"/>
  </dataFields>
  <chartFormats count="1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 chart="11" format="4">
      <pivotArea type="data" outline="0" fieldPosition="0">
        <references count="2">
          <reference field="4294967294" count="1" selected="0">
            <x v="0"/>
          </reference>
          <reference field="7" count="1" selected="0">
            <x v="3"/>
          </reference>
        </references>
      </pivotArea>
    </chartFormat>
    <chartFormat chart="11" format="5">
      <pivotArea type="data" outline="0" fieldPosition="0">
        <references count="2">
          <reference field="4294967294" count="1" selected="0">
            <x v="0"/>
          </reference>
          <reference field="7" count="1" selected="0">
            <x v="4"/>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7" count="1" selected="0">
            <x v="0"/>
          </reference>
        </references>
      </pivotArea>
    </chartFormat>
    <chartFormat chart="21" format="14">
      <pivotArea type="data" outline="0" fieldPosition="0">
        <references count="2">
          <reference field="4294967294" count="1" selected="0">
            <x v="0"/>
          </reference>
          <reference field="7" count="1" selected="0">
            <x v="1"/>
          </reference>
        </references>
      </pivotArea>
    </chartFormat>
    <chartFormat chart="21" format="15">
      <pivotArea type="data" outline="0" fieldPosition="0">
        <references count="2">
          <reference field="4294967294" count="1" selected="0">
            <x v="0"/>
          </reference>
          <reference field="7" count="1" selected="0">
            <x v="2"/>
          </reference>
        </references>
      </pivotArea>
    </chartFormat>
    <chartFormat chart="21" format="16">
      <pivotArea type="data" outline="0" fieldPosition="0">
        <references count="2">
          <reference field="4294967294" count="1" selected="0">
            <x v="0"/>
          </reference>
          <reference field="7" count="1" selected="0">
            <x v="3"/>
          </reference>
        </references>
      </pivotArea>
    </chartFormat>
    <chartFormat chart="21"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724751-3616-444D-9282-B09979ED5BD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9">
    <pivotField showAll="0"/>
    <pivotField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showAll="0">
      <items count="6">
        <item x="3"/>
        <item x="1"/>
        <item x="0"/>
        <item x="2"/>
        <item x="4"/>
        <item t="default"/>
      </items>
    </pivotField>
    <pivotField showAll="0">
      <items count="55">
        <item x="23"/>
        <item x="13"/>
        <item x="36"/>
        <item x="39"/>
        <item x="12"/>
        <item x="43"/>
        <item x="27"/>
        <item x="32"/>
        <item x="7"/>
        <item x="26"/>
        <item x="22"/>
        <item x="18"/>
        <item x="0"/>
        <item x="17"/>
        <item x="5"/>
        <item x="4"/>
        <item x="29"/>
        <item x="31"/>
        <item x="19"/>
        <item x="38"/>
        <item x="28"/>
        <item x="21"/>
        <item x="14"/>
        <item x="34"/>
        <item x="11"/>
        <item x="15"/>
        <item x="44"/>
        <item x="1"/>
        <item x="20"/>
        <item x="35"/>
        <item x="6"/>
        <item x="33"/>
        <item x="50"/>
        <item x="42"/>
        <item x="8"/>
        <item x="24"/>
        <item x="30"/>
        <item x="46"/>
        <item x="2"/>
        <item x="40"/>
        <item x="3"/>
        <item x="47"/>
        <item x="25"/>
        <item x="45"/>
        <item x="53"/>
        <item x="49"/>
        <item x="37"/>
        <item x="10"/>
        <item x="52"/>
        <item x="9"/>
        <item x="48"/>
        <item x="51"/>
        <item x="16"/>
        <item x="41"/>
        <item t="default"/>
      </items>
    </pivotField>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8"/>
  </rowFields>
  <rowItems count="4">
    <i>
      <x/>
    </i>
    <i>
      <x v="1"/>
    </i>
    <i>
      <x v="2"/>
    </i>
    <i t="grand">
      <x/>
    </i>
  </rowItems>
  <colItems count="1">
    <i/>
  </colItems>
  <dataFields count="1">
    <dataField name="Sum of Total Amount" fld="6"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8" count="1" selected="0">
            <x v="0"/>
          </reference>
        </references>
      </pivotArea>
    </chartFormat>
    <chartFormat chart="14" format="10">
      <pivotArea type="data" outline="0" fieldPosition="0">
        <references count="2">
          <reference field="4294967294" count="1" selected="0">
            <x v="0"/>
          </reference>
          <reference field="8" count="1" selected="0">
            <x v="1"/>
          </reference>
        </references>
      </pivotArea>
    </chartFormat>
    <chartFormat chart="1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91E444-6DEF-4855-BBCC-B08C103914F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6" firstHeaderRow="1" firstDataRow="1" firstDataCol="1"/>
  <pivotFields count="19">
    <pivotField showAll="0"/>
    <pivotField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items count="23">
        <item x="14"/>
        <item x="15"/>
        <item x="7"/>
        <item x="21"/>
        <item x="11"/>
        <item x="9"/>
        <item x="20"/>
        <item x="13"/>
        <item x="17"/>
        <item x="3"/>
        <item x="18"/>
        <item x="0"/>
        <item x="2"/>
        <item x="8"/>
        <item x="12"/>
        <item x="19"/>
        <item x="10"/>
        <item x="1"/>
        <item x="6"/>
        <item x="4"/>
        <item x="5"/>
        <item x="16"/>
        <item t="default"/>
      </items>
    </pivotField>
    <pivotField showAll="0">
      <items count="6">
        <item x="3"/>
        <item x="1"/>
        <item x="0"/>
        <item x="2"/>
        <item x="4"/>
        <item t="default"/>
      </items>
    </pivotField>
    <pivotField showAll="0">
      <items count="55">
        <item x="23"/>
        <item x="13"/>
        <item x="36"/>
        <item x="39"/>
        <item x="12"/>
        <item x="43"/>
        <item x="27"/>
        <item x="32"/>
        <item x="7"/>
        <item x="26"/>
        <item x="22"/>
        <item x="18"/>
        <item x="0"/>
        <item x="17"/>
        <item x="5"/>
        <item x="4"/>
        <item x="29"/>
        <item x="31"/>
        <item x="19"/>
        <item x="38"/>
        <item x="28"/>
        <item x="21"/>
        <item x="14"/>
        <item x="34"/>
        <item x="11"/>
        <item x="15"/>
        <item x="44"/>
        <item x="1"/>
        <item x="20"/>
        <item x="35"/>
        <item x="6"/>
        <item x="33"/>
        <item x="50"/>
        <item x="42"/>
        <item x="8"/>
        <item x="24"/>
        <item x="30"/>
        <item x="46"/>
        <item x="2"/>
        <item x="40"/>
        <item x="3"/>
        <item x="47"/>
        <item x="25"/>
        <item x="45"/>
        <item x="53"/>
        <item x="49"/>
        <item x="37"/>
        <item x="10"/>
        <item x="52"/>
        <item x="9"/>
        <item x="48"/>
        <item x="51"/>
        <item x="16"/>
        <item x="41"/>
        <item t="default"/>
      </items>
    </pivotField>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items count="6">
        <item x="4"/>
        <item x="3"/>
        <item x="2"/>
        <item x="0"/>
        <item x="1"/>
        <item t="default"/>
      </items>
    </pivotField>
    <pivotField showAll="0"/>
    <pivotField showAll="0"/>
    <pivotField showAll="0"/>
    <pivotField axis="axisRow" showAll="0">
      <items count="23">
        <item x="15"/>
        <item x="16"/>
        <item x="4"/>
        <item x="7"/>
        <item x="19"/>
        <item x="1"/>
        <item x="6"/>
        <item x="10"/>
        <item x="18"/>
        <item x="3"/>
        <item x="0"/>
        <item x="21"/>
        <item x="17"/>
        <item x="12"/>
        <item x="20"/>
        <item x="9"/>
        <item x="14"/>
        <item x="8"/>
        <item x="13"/>
        <item x="11"/>
        <item x="2"/>
        <item x="5"/>
        <item t="default"/>
      </items>
    </pivotField>
  </pivotFields>
  <rowFields count="1">
    <field x="18"/>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otal Amount" fld="6" baseField="0" baseItem="0"/>
  </dataFields>
  <chartFormats count="5">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CAF9D0-07DC-4991-86AC-8E789F48F3A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819A95-D78D-4ACC-ABCD-815571B3B86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showAll="0"/>
    <pivotField showAll="0"/>
    <pivotField showAll="0"/>
    <pivotField showAll="0"/>
    <pivotField showAll="0"/>
    <pivotField showAll="0"/>
    <pivotField dataField="1" showAll="0"/>
    <pivotField showAll="0"/>
    <pivotField showAll="0"/>
    <pivotField showAll="0"/>
    <pivotField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 Amount" fld="6"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5F4EE8-3C8C-4225-85A0-D387BDD47F34}"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showAll="0"/>
    <pivotField showAll="0"/>
    <pivotField axis="axisRow" showAll="0">
      <items count="6">
        <item x="3"/>
        <item x="1"/>
        <item x="0"/>
        <item x="2"/>
        <item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4EB43A-8BF1-43ED-A3FD-B3DFB3FD30B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3" firstHeaderRow="1" firstDataRow="1" firstDataCol="1"/>
  <pivotFields count="19">
    <pivotField showAll="0"/>
    <pivotField axis="axisRow"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1"/>
  </rowFields>
  <rowItems count="40">
    <i>
      <x v="2"/>
    </i>
    <i>
      <x v="3"/>
    </i>
    <i>
      <x v="4"/>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Quantity"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FA21C6-540A-40DD-BFBA-7BC8B5DDDF1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24:AL26"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showAll="0">
      <items count="4">
        <item x="1"/>
        <item x="0"/>
        <item x="2"/>
        <item t="default"/>
      </items>
    </pivotField>
    <pivotField dragToRow="0" dragToCol="0" dragToPage="0" showAll="0" defaultSubtotal="0"/>
  </pivotFields>
  <rowItems count="1">
    <i/>
  </rowItems>
  <colFields count="1">
    <field x="17"/>
  </colFields>
  <colItems count="4">
    <i>
      <x/>
    </i>
    <i>
      <x v="1"/>
    </i>
    <i>
      <x v="2"/>
    </i>
    <i t="grand">
      <x/>
    </i>
  </colItems>
  <dataFields count="1">
    <dataField name="Count of Order ID" fld="0" subtotal="count" baseField="0" baseItem="0"/>
  </dataFields>
  <formats count="9">
    <format dxfId="313">
      <pivotArea type="all" dataOnly="0" outline="0" fieldPosition="0"/>
    </format>
    <format dxfId="312">
      <pivotArea outline="0" collapsedLevelsAreSubtotals="1" fieldPosition="0"/>
    </format>
    <format dxfId="311">
      <pivotArea type="origin" dataOnly="0" labelOnly="1" outline="0" offset="A1" fieldPosition="0"/>
    </format>
    <format dxfId="310">
      <pivotArea dataOnly="0" labelOnly="1" outline="0" axis="axisValues" fieldPosition="0"/>
    </format>
    <format dxfId="309">
      <pivotArea field="17" type="button" dataOnly="0" labelOnly="1" outline="0" axis="axisCol" fieldPosition="0"/>
    </format>
    <format dxfId="308">
      <pivotArea type="topRight" dataOnly="0" labelOnly="1" outline="0" fieldPosition="0"/>
    </format>
    <format dxfId="307">
      <pivotArea type="origin" dataOnly="0" labelOnly="1" outline="0" offset="A2" fieldPosition="0"/>
    </format>
    <format dxfId="306">
      <pivotArea dataOnly="0" labelOnly="1" fieldPosition="0">
        <references count="1">
          <reference field="17" count="0"/>
        </references>
      </pivotArea>
    </format>
    <format dxfId="30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722BB89-F0DF-4CE8-BF42-E3A8357BA94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6:AF17" firstHeaderRow="1" firstDataRow="1" firstDataCol="0"/>
  <pivotFields count="19">
    <pivotField showAll="0"/>
    <pivotField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Items count="1">
    <i/>
  </rowItems>
  <colItems count="1">
    <i/>
  </colItems>
  <dataFields count="1">
    <dataField name="Sum of Total Amount" fld="6" baseField="0" baseItem="0"/>
  </dataFields>
  <formats count="3">
    <format dxfId="316">
      <pivotArea type="all" dataOnly="0" outline="0" fieldPosition="0"/>
    </format>
    <format dxfId="315">
      <pivotArea outline="0" collapsedLevelsAreSubtotals="1" fieldPosition="0"/>
    </format>
    <format dxfId="3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31C941-76BD-4DF1-8599-95D57A22EAC4}"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9:AR25" firstHeaderRow="1" firstDataRow="1" firstDataCol="1"/>
  <pivotFields count="19">
    <pivotField showAll="0"/>
    <pivotField showAll="0">
      <items count="43">
        <item h="1" x="27"/>
        <item h="1" x="31"/>
        <item x="34"/>
        <item x="26"/>
        <item x="20"/>
        <item h="1"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6">
    <i>
      <x/>
    </i>
    <i>
      <x v="1"/>
    </i>
    <i>
      <x v="2"/>
    </i>
    <i>
      <x v="3"/>
    </i>
    <i>
      <x v="4"/>
    </i>
    <i t="grand">
      <x/>
    </i>
  </rowItems>
  <colItems count="1">
    <i/>
  </colItems>
  <dataFields count="1">
    <dataField name="Sum of Total Amount" fld="6" baseField="0" baseItem="0"/>
  </dataFields>
  <formats count="6">
    <format dxfId="322">
      <pivotArea type="all" dataOnly="0" outline="0" fieldPosition="0"/>
    </format>
    <format dxfId="321">
      <pivotArea outline="0" collapsedLevelsAreSubtotals="1" fieldPosition="0"/>
    </format>
    <format dxfId="320">
      <pivotArea field="3" type="button" dataOnly="0" labelOnly="1" outline="0" axis="axisRow" fieldPosition="0"/>
    </format>
    <format dxfId="319">
      <pivotArea dataOnly="0" labelOnly="1" fieldPosition="0">
        <references count="1">
          <reference field="3" count="3">
            <x v="2"/>
            <x v="3"/>
            <x v="4"/>
          </reference>
        </references>
      </pivotArea>
    </format>
    <format dxfId="318">
      <pivotArea dataOnly="0" labelOnly="1" grandRow="1" outline="0" fieldPosition="0"/>
    </format>
    <format dxfId="3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99693B-F577-45B3-B6B8-39AB4DFA6DBE}" sourceName="Region">
  <pivotTables>
    <pivotTable tabId="17" name="PivotTable2"/>
    <pivotTable tabId="16" name="PivotTable1"/>
    <pivotTable tabId="18" name="PivotTable3"/>
    <pivotTable tabId="20" name="PivotTable4"/>
    <pivotTable tabId="21" name="PivotTable2"/>
    <pivotTable tabId="22" name="PivotTable1"/>
    <pivotTable tabId="21" name="PivotTable9"/>
    <pivotTable tabId="31" name="PivotTable8"/>
  </pivotTables>
  <data>
    <tabular pivotCacheId="1356965353">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58CEFF6-92B4-4350-AA2E-66BB69AB9E68}" sourceName="Payment Method">
  <pivotTables>
    <pivotTable tabId="17" name="PivotTable2"/>
    <pivotTable tabId="16" name="PivotTable1"/>
    <pivotTable tabId="18" name="PivotTable3"/>
    <pivotTable tabId="20" name="PivotTable4"/>
    <pivotTable tabId="21" name="PivotTable2"/>
    <pivotTable tabId="22" name="PivotTable1"/>
    <pivotTable tabId="21" name="PivotTable9"/>
    <pivotTable tabId="31" name="PivotTable8"/>
  </pivotTables>
  <data>
    <tabular pivotCacheId="135696535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FB1105E-1D23-4FA4-ACB2-5014033C3D3F}" sourceName="Delivery Status">
  <pivotTables>
    <pivotTable tabId="17" name="PivotTable2"/>
    <pivotTable tabId="16" name="PivotTable1"/>
    <pivotTable tabId="18" name="PivotTable3"/>
    <pivotTable tabId="20" name="PivotTable4"/>
    <pivotTable tabId="21" name="PivotTable2"/>
    <pivotTable tabId="22" name="PivotTable1"/>
    <pivotTable tabId="21" name="PivotTable9"/>
    <pivotTable tabId="31" name="PivotTable8"/>
  </pivotTables>
  <data>
    <tabular pivotCacheId="13569653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12747A8-A996-4F95-B761-65A921AEF8C8}" sourceName="Product name">
  <pivotTables>
    <pivotTable tabId="17" name="PivotTable2"/>
    <pivotTable tabId="16" name="PivotTable1"/>
    <pivotTable tabId="18" name="PivotTable3"/>
    <pivotTable tabId="20" name="PivotTable4"/>
    <pivotTable tabId="21" name="PivotTable2"/>
    <pivotTable tabId="22" name="PivotTable1"/>
    <pivotTable tabId="21" name="PivotTable9"/>
    <pivotTable tabId="31" name="PivotTable8"/>
    <pivotTable tabId="34" name="PivotTable1"/>
  </pivotTables>
  <data>
    <tabular pivotCacheId="1356965353">
      <items count="22">
        <i x="15" s="1"/>
        <i x="16" s="1"/>
        <i x="4" s="1"/>
        <i x="7" s="1"/>
        <i x="19" s="1"/>
        <i x="1" s="1"/>
        <i x="6" s="1"/>
        <i x="10" s="1"/>
        <i x="18" s="1"/>
        <i x="3" s="1"/>
        <i x="0" s="1"/>
        <i x="21" s="1"/>
        <i x="17" s="1"/>
        <i x="12" s="1"/>
        <i x="20" s="1"/>
        <i x="9" s="1"/>
        <i x="14" s="1"/>
        <i x="8" s="1"/>
        <i x="13" s="1"/>
        <i x="11"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06AF416D-410D-471A-BE1F-8EA155A7C736}" sourceName="Customer ID">
  <pivotTables>
    <pivotTable tabId="20" name="PivotTable4"/>
    <pivotTable tabId="21" name="PivotTable2"/>
    <pivotTable tabId="21" name="PivotTable9"/>
    <pivotTable tabId="17" name="PivotTable2"/>
    <pivotTable tabId="18" name="PivotTable3"/>
    <pivotTable tabId="34" name="PivotTable1"/>
  </pivotTables>
  <data>
    <tabular pivotCacheId="1356965353">
      <items count="42">
        <i x="27"/>
        <i x="31"/>
        <i x="34" s="1"/>
        <i x="26" s="1"/>
        <i x="20" s="1"/>
        <i x="21"/>
        <i x="4" s="1"/>
        <i x="13" s="1"/>
        <i x="7" s="1"/>
        <i x="22" s="1"/>
        <i x="37" s="1"/>
        <i x="16" s="1"/>
        <i x="30" s="1"/>
        <i x="19" s="1"/>
        <i x="6" s="1"/>
        <i x="0" s="1"/>
        <i x="33" s="1"/>
        <i x="10" s="1"/>
        <i x="25" s="1"/>
        <i x="15" s="1"/>
        <i x="29" s="1"/>
        <i x="3" s="1"/>
        <i x="17" s="1"/>
        <i x="1" s="1"/>
        <i x="39" s="1"/>
        <i x="24" s="1"/>
        <i x="11" s="1"/>
        <i x="41" s="1"/>
        <i x="32" s="1"/>
        <i x="40" s="1"/>
        <i x="23" s="1"/>
        <i x="28" s="1"/>
        <i x="18" s="1"/>
        <i x="14" s="1"/>
        <i x="5" s="1"/>
        <i x="38" s="1"/>
        <i x="2" s="1"/>
        <i x="9" s="1"/>
        <i x="8" s="1"/>
        <i x="12" s="1"/>
        <i x="35" s="1"/>
        <i x="3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FF0B9E-34AC-4EC9-998B-F89DA20FBC03}" cache="Slicer_Region" caption="Region" rowHeight="241300"/>
  <slicer name="Payment Method" xr10:uid="{EFF959B1-57AF-4230-9273-297A65B0110C}" cache="Slicer_Payment_Method" caption="Payment Method" rowHeight="241300"/>
  <slicer name="Delivery Status" xr10:uid="{7B278BF0-92BF-4D31-9292-9AEF7D6B3784}" cache="Slicer_Delivery_Status" caption="Delivery Status" rowHeight="241300"/>
  <slicer name="Product name" xr10:uid="{59A41F1F-5FA2-4701-B174-38ED3F428FE9}" cache="Slicer_Product_name" caption="Product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DC575AFC-7656-4241-AA49-35F5ADA0466A}" cache="Slicer_Product_name" caption="Product name" rowHeight="241300"/>
  <slicer name="Customer ID" xr10:uid="{75F7CE7C-14A5-4207-9038-A0CA68CF9537}" cache="Slicer_Customer_ID" caption="Customer I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0A6A41-5634-4833-87CB-2A35E0773636}" name="Table3" displayName="Table3" ref="A3:R28" totalsRowShown="0">
  <autoFilter ref="A3:R28" xr:uid="{790A6A41-5634-4833-87CB-2A35E0773636}"/>
  <tableColumns count="18">
    <tableColumn id="1" xr3:uid="{3AC8E787-1C1F-46B5-AD59-7232EB191675}" name="Order ID"/>
    <tableColumn id="2" xr3:uid="{AB6A1125-FE20-464D-AFA3-185CD1B71E5C}" name="Customer ID"/>
    <tableColumn id="3" xr3:uid="{AFB9958B-AB1D-49DD-A5FF-815B757B0807}" name="Product ID"/>
    <tableColumn id="4" xr3:uid="{21021CF0-F019-49F3-BCDD-F97ACE813DC0}" name="Region"/>
    <tableColumn id="5" xr3:uid="{07D11870-E67A-4541-AEB2-81FE17DA03C3}" name="Sale Price/Unit"/>
    <tableColumn id="6" xr3:uid="{531AF090-A65F-46C6-B1FC-89E7572F1E4B}" name="Quantity"/>
    <tableColumn id="7" xr3:uid="{1CF8B175-0C97-454C-AEC1-B9E23E2147F4}" name="Total Amount"/>
    <tableColumn id="8" xr3:uid="{FF633C47-D7A5-4C00-A1FE-F98F8EDACCF5}" name="Payment Method"/>
    <tableColumn id="9" xr3:uid="{A6ED7633-4CF6-40D1-96A5-96F4177E867D}" name="Delivery Status"/>
    <tableColumn id="10" xr3:uid="{BDE623F3-F231-400B-A797-5675C642A9A8}" name="Fulfillment Partner"/>
    <tableColumn id="11" xr3:uid="{522F3FDB-E879-48B2-93AA-D588D89D10A4}" name="Order Date" dataDxfId="299"/>
    <tableColumn id="12" xr3:uid="{57197536-5279-41E8-880D-FFD0A98B0C83}" name="Delivery Date"/>
    <tableColumn id="13" xr3:uid="{8379B387-13A2-4D65-87F9-A6C88B43C77E}" name="Cancel Date"/>
    <tableColumn id="14" xr3:uid="{2FF01092-98C5-4586-BE05-AE84A90E44AB}" name="Is cancelled"/>
    <tableColumn id="15" xr3:uid="{63E44471-776C-43EF-9341-CE1D8A1DCC81}" name="Product category"/>
    <tableColumn id="16" xr3:uid="{E87A5655-0A36-48C3-8F2E-703639771EC9}" name="Average delivery time"/>
    <tableColumn id="17" xr3:uid="{640E3797-2582-4160-971C-E228A3F9A2B1}" name="Customer Name"/>
    <tableColumn id="18" xr3:uid="{A386BA5B-406C-402B-BF63-E275D9915BC0}" name="Delivery 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microsoft.com/office/2007/relationships/slicer" Target="../slicers/slicer1.xml"/><Relationship Id="rId5" Type="http://schemas.openxmlformats.org/officeDocument/2006/relationships/drawing" Target="../drawings/drawing8.xml"/><Relationship Id="rId4"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7F4D-FBE6-40BA-8AFC-5C0F512BD853}">
  <dimension ref="A3:G10"/>
  <sheetViews>
    <sheetView topLeftCell="BN1" workbookViewId="0">
      <selection activeCell="A3" sqref="A3"/>
    </sheetView>
  </sheetViews>
  <sheetFormatPr defaultRowHeight="14.25" x14ac:dyDescent="0.2"/>
  <cols>
    <col min="1" max="1" width="19.75" customWidth="1"/>
    <col min="2" max="2" width="16.25" customWidth="1"/>
    <col min="3" max="3" width="10.5" customWidth="1"/>
    <col min="4" max="4" width="7.75" customWidth="1"/>
    <col min="5" max="5" width="6.25" customWidth="1"/>
    <col min="6" max="6" width="4.875" customWidth="1"/>
    <col min="7" max="7" width="11.25" customWidth="1"/>
  </cols>
  <sheetData>
    <row r="3" spans="1:7" x14ac:dyDescent="0.2">
      <c r="A3" s="9" t="s">
        <v>316</v>
      </c>
      <c r="B3" s="9" t="s">
        <v>317</v>
      </c>
    </row>
    <row r="4" spans="1:7" x14ac:dyDescent="0.2">
      <c r="A4" s="9" t="s">
        <v>314</v>
      </c>
      <c r="B4" t="s">
        <v>218</v>
      </c>
      <c r="C4" t="s">
        <v>200</v>
      </c>
      <c r="D4" t="s">
        <v>211</v>
      </c>
      <c r="E4" t="s">
        <v>206</v>
      </c>
      <c r="F4" t="s">
        <v>203</v>
      </c>
      <c r="G4" t="s">
        <v>315</v>
      </c>
    </row>
    <row r="5" spans="1:7" x14ac:dyDescent="0.2">
      <c r="A5" s="10" t="s">
        <v>30</v>
      </c>
      <c r="B5">
        <v>84</v>
      </c>
      <c r="C5">
        <v>2662</v>
      </c>
      <c r="D5">
        <v>210</v>
      </c>
      <c r="E5">
        <v>2063</v>
      </c>
      <c r="F5">
        <v>437</v>
      </c>
      <c r="G5">
        <v>5456</v>
      </c>
    </row>
    <row r="6" spans="1:7" x14ac:dyDescent="0.2">
      <c r="A6" s="10" t="s">
        <v>17</v>
      </c>
      <c r="B6">
        <v>394</v>
      </c>
      <c r="C6">
        <v>365</v>
      </c>
      <c r="D6">
        <v>711</v>
      </c>
      <c r="E6">
        <v>741</v>
      </c>
      <c r="F6">
        <v>1424</v>
      </c>
      <c r="G6">
        <v>3635</v>
      </c>
    </row>
    <row r="7" spans="1:7" x14ac:dyDescent="0.2">
      <c r="A7" s="10" t="s">
        <v>12</v>
      </c>
      <c r="B7">
        <v>464</v>
      </c>
      <c r="C7">
        <v>6522</v>
      </c>
      <c r="D7">
        <v>788</v>
      </c>
      <c r="E7">
        <v>2131</v>
      </c>
      <c r="F7">
        <v>586</v>
      </c>
      <c r="G7">
        <v>10491</v>
      </c>
    </row>
    <row r="8" spans="1:7" x14ac:dyDescent="0.2">
      <c r="A8" s="10" t="s">
        <v>21</v>
      </c>
      <c r="B8">
        <v>423</v>
      </c>
      <c r="C8">
        <v>3938</v>
      </c>
      <c r="D8">
        <v>1032</v>
      </c>
      <c r="E8">
        <v>1881</v>
      </c>
      <c r="F8">
        <v>43</v>
      </c>
      <c r="G8">
        <v>7317</v>
      </c>
    </row>
    <row r="9" spans="1:7" x14ac:dyDescent="0.2">
      <c r="A9" s="10" t="s">
        <v>33</v>
      </c>
      <c r="B9">
        <v>350</v>
      </c>
      <c r="C9">
        <v>1722</v>
      </c>
      <c r="D9">
        <v>1131</v>
      </c>
      <c r="E9">
        <v>4135</v>
      </c>
      <c r="F9">
        <v>1021</v>
      </c>
      <c r="G9">
        <v>8359</v>
      </c>
    </row>
    <row r="10" spans="1:7" x14ac:dyDescent="0.2">
      <c r="A10" s="10" t="s">
        <v>315</v>
      </c>
      <c r="B10">
        <v>1715</v>
      </c>
      <c r="C10">
        <v>15209</v>
      </c>
      <c r="D10">
        <v>3872</v>
      </c>
      <c r="E10">
        <v>10951</v>
      </c>
      <c r="F10">
        <v>3511</v>
      </c>
      <c r="G10">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1778-E01B-4702-8CDE-D45E2036C11D}">
  <dimension ref="A1:B10"/>
  <sheetViews>
    <sheetView workbookViewId="0">
      <selection activeCell="B8" sqref="B8"/>
    </sheetView>
  </sheetViews>
  <sheetFormatPr defaultRowHeight="14.25" x14ac:dyDescent="0.2"/>
  <cols>
    <col min="1" max="1" width="16.375" customWidth="1"/>
    <col min="2" max="2" width="31.25" customWidth="1"/>
  </cols>
  <sheetData>
    <row r="1" spans="1:2" x14ac:dyDescent="0.2">
      <c r="A1" s="9" t="s">
        <v>312</v>
      </c>
      <c r="B1" t="s">
        <v>320</v>
      </c>
    </row>
    <row r="2" spans="1:2" x14ac:dyDescent="0.2">
      <c r="A2" s="9" t="s">
        <v>5</v>
      </c>
      <c r="B2" t="s">
        <v>320</v>
      </c>
    </row>
    <row r="4" spans="1:2" x14ac:dyDescent="0.2">
      <c r="A4" s="9" t="s">
        <v>314</v>
      </c>
      <c r="B4" t="s">
        <v>318</v>
      </c>
    </row>
    <row r="5" spans="1:2" x14ac:dyDescent="0.2">
      <c r="A5" s="10" t="s">
        <v>30</v>
      </c>
      <c r="B5" s="11">
        <v>4.2</v>
      </c>
    </row>
    <row r="6" spans="1:2" x14ac:dyDescent="0.2">
      <c r="A6" s="10" t="s">
        <v>17</v>
      </c>
      <c r="B6" s="11">
        <v>4.25</v>
      </c>
    </row>
    <row r="7" spans="1:2" x14ac:dyDescent="0.2">
      <c r="A7" s="10" t="s">
        <v>12</v>
      </c>
      <c r="B7" s="11">
        <v>3.625</v>
      </c>
    </row>
    <row r="8" spans="1:2" x14ac:dyDescent="0.2">
      <c r="A8" s="10" t="s">
        <v>21</v>
      </c>
      <c r="B8" s="11">
        <v>3.3333333333333335</v>
      </c>
    </row>
    <row r="9" spans="1:2" x14ac:dyDescent="0.2">
      <c r="A9" s="10" t="s">
        <v>33</v>
      </c>
      <c r="B9" s="11">
        <v>3.4285714285714284</v>
      </c>
    </row>
    <row r="10" spans="1:2" x14ac:dyDescent="0.2">
      <c r="A10" s="10" t="s">
        <v>315</v>
      </c>
      <c r="B10">
        <v>3.7647058823529411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593AC-CF37-4B6D-ABA7-012F5515B67C}">
  <dimension ref="A3:B7"/>
  <sheetViews>
    <sheetView workbookViewId="0">
      <selection activeCell="A3" sqref="A3"/>
    </sheetView>
  </sheetViews>
  <sheetFormatPr defaultRowHeight="14.25" x14ac:dyDescent="0.2"/>
  <cols>
    <col min="1" max="1" width="13" customWidth="1"/>
    <col min="2" max="2" width="16.5" customWidth="1"/>
  </cols>
  <sheetData>
    <row r="3" spans="1:2" x14ac:dyDescent="0.2">
      <c r="A3" s="9" t="s">
        <v>314</v>
      </c>
      <c r="B3" t="s">
        <v>319</v>
      </c>
    </row>
    <row r="4" spans="1:2" x14ac:dyDescent="0.2">
      <c r="A4" s="10" t="s">
        <v>14</v>
      </c>
      <c r="B4">
        <v>30</v>
      </c>
    </row>
    <row r="5" spans="1:2" x14ac:dyDescent="0.2">
      <c r="A5" s="10" t="s">
        <v>19</v>
      </c>
      <c r="B5">
        <v>34</v>
      </c>
    </row>
    <row r="6" spans="1:2" x14ac:dyDescent="0.2">
      <c r="A6" s="10" t="s">
        <v>22</v>
      </c>
      <c r="B6">
        <v>36</v>
      </c>
    </row>
    <row r="7" spans="1:2" x14ac:dyDescent="0.2">
      <c r="A7" s="10" t="s">
        <v>315</v>
      </c>
      <c r="B7">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3626-8087-45DB-9BB8-878FA99B8BCF}">
  <dimension ref="A3:E10"/>
  <sheetViews>
    <sheetView workbookViewId="0">
      <selection activeCell="E5" sqref="E5"/>
    </sheetView>
  </sheetViews>
  <sheetFormatPr defaultRowHeight="14.25" x14ac:dyDescent="0.2"/>
  <cols>
    <col min="1" max="1" width="16.5" customWidth="1"/>
    <col min="2" max="2" width="16.25" customWidth="1"/>
    <col min="3" max="3" width="3.875" customWidth="1"/>
    <col min="4" max="4" width="11.25" customWidth="1"/>
  </cols>
  <sheetData>
    <row r="3" spans="1:5" x14ac:dyDescent="0.2">
      <c r="A3" s="9" t="s">
        <v>319</v>
      </c>
      <c r="B3" s="9" t="s">
        <v>317</v>
      </c>
    </row>
    <row r="4" spans="1:5" x14ac:dyDescent="0.2">
      <c r="A4" s="9" t="s">
        <v>314</v>
      </c>
      <c r="B4" t="s">
        <v>322</v>
      </c>
      <c r="C4" t="s">
        <v>323</v>
      </c>
      <c r="D4" t="s">
        <v>315</v>
      </c>
    </row>
    <row r="5" spans="1:5" x14ac:dyDescent="0.2">
      <c r="A5" s="10" t="s">
        <v>30</v>
      </c>
      <c r="B5">
        <v>9</v>
      </c>
      <c r="C5">
        <v>5</v>
      </c>
      <c r="D5">
        <v>14</v>
      </c>
      <c r="E5" s="12">
        <f>C5/D5</f>
        <v>0.35714285714285715</v>
      </c>
    </row>
    <row r="6" spans="1:5" x14ac:dyDescent="0.2">
      <c r="A6" s="10" t="s">
        <v>17</v>
      </c>
      <c r="B6">
        <v>15</v>
      </c>
      <c r="C6">
        <v>3</v>
      </c>
      <c r="D6">
        <v>18</v>
      </c>
      <c r="E6" s="12">
        <f t="shared" ref="E6:E9" si="0">C6/D6</f>
        <v>0.16666666666666666</v>
      </c>
    </row>
    <row r="7" spans="1:5" x14ac:dyDescent="0.2">
      <c r="A7" s="10" t="s">
        <v>12</v>
      </c>
      <c r="B7">
        <v>15</v>
      </c>
      <c r="C7">
        <v>10</v>
      </c>
      <c r="D7">
        <v>25</v>
      </c>
      <c r="E7" s="12">
        <f t="shared" si="0"/>
        <v>0.4</v>
      </c>
    </row>
    <row r="8" spans="1:5" x14ac:dyDescent="0.2">
      <c r="A8" s="10" t="s">
        <v>21</v>
      </c>
      <c r="B8">
        <v>16</v>
      </c>
      <c r="C8">
        <v>4</v>
      </c>
      <c r="D8">
        <v>20</v>
      </c>
      <c r="E8" s="12">
        <f t="shared" si="0"/>
        <v>0.2</v>
      </c>
    </row>
    <row r="9" spans="1:5" x14ac:dyDescent="0.2">
      <c r="A9" s="10" t="s">
        <v>33</v>
      </c>
      <c r="B9">
        <v>15</v>
      </c>
      <c r="C9">
        <v>8</v>
      </c>
      <c r="D9">
        <v>23</v>
      </c>
      <c r="E9" s="12">
        <f t="shared" si="0"/>
        <v>0.34782608695652173</v>
      </c>
    </row>
    <row r="10" spans="1:5" x14ac:dyDescent="0.2">
      <c r="A10" s="10" t="s">
        <v>315</v>
      </c>
      <c r="B10">
        <v>70</v>
      </c>
      <c r="C10">
        <v>30</v>
      </c>
      <c r="D10">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682F-5C33-45C4-A647-4DE5B0357FC3}">
  <dimension ref="A1:B4"/>
  <sheetViews>
    <sheetView workbookViewId="0">
      <selection activeCell="A3" sqref="A3"/>
    </sheetView>
  </sheetViews>
  <sheetFormatPr defaultRowHeight="14.25" x14ac:dyDescent="0.2"/>
  <cols>
    <col min="1" max="1" width="19.75" customWidth="1"/>
    <col min="2" max="2" width="11.875" customWidth="1"/>
  </cols>
  <sheetData>
    <row r="1" spans="1:2" x14ac:dyDescent="0.2">
      <c r="A1" s="9" t="s">
        <v>6</v>
      </c>
      <c r="B1" t="s">
        <v>19</v>
      </c>
    </row>
    <row r="3" spans="1:2" x14ac:dyDescent="0.2">
      <c r="A3" t="s">
        <v>316</v>
      </c>
    </row>
    <row r="4" spans="1:2" x14ac:dyDescent="0.2">
      <c r="A4">
        <v>13656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05F1-6556-42E5-A96A-59DC6919DF17}">
  <dimension ref="A3:A4"/>
  <sheetViews>
    <sheetView workbookViewId="0">
      <selection activeCell="A4" sqref="A4"/>
    </sheetView>
  </sheetViews>
  <sheetFormatPr defaultRowHeight="14.25" x14ac:dyDescent="0.2"/>
  <cols>
    <col min="1" max="1" width="19.75" customWidth="1"/>
  </cols>
  <sheetData>
    <row r="3" spans="1:1" x14ac:dyDescent="0.2">
      <c r="A3" t="s">
        <v>316</v>
      </c>
    </row>
    <row r="4" spans="1:1" x14ac:dyDescent="0.2">
      <c r="A4">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9C59-137F-40C8-A0DD-19B9655990FB}">
  <dimension ref="A3:F5"/>
  <sheetViews>
    <sheetView workbookViewId="0">
      <selection activeCell="F5" sqref="F5"/>
    </sheetView>
  </sheetViews>
  <sheetFormatPr defaultRowHeight="14.25" x14ac:dyDescent="0.2"/>
  <cols>
    <col min="1" max="1" width="16.5" customWidth="1"/>
    <col min="2" max="2" width="16.25" customWidth="1"/>
    <col min="3" max="3" width="3" customWidth="1"/>
    <col min="4" max="4" width="5" customWidth="1"/>
    <col min="5" max="5" width="11.25" customWidth="1"/>
    <col min="6" max="6" width="14" customWidth="1"/>
  </cols>
  <sheetData>
    <row r="3" spans="1:6" x14ac:dyDescent="0.2">
      <c r="B3" s="9" t="s">
        <v>317</v>
      </c>
    </row>
    <row r="4" spans="1:6" x14ac:dyDescent="0.2">
      <c r="B4" t="s">
        <v>324</v>
      </c>
      <c r="C4" t="s">
        <v>325</v>
      </c>
      <c r="D4" t="s">
        <v>326</v>
      </c>
      <c r="E4" t="s">
        <v>315</v>
      </c>
      <c r="F4" t="s">
        <v>327</v>
      </c>
    </row>
    <row r="5" spans="1:6" x14ac:dyDescent="0.2">
      <c r="A5" t="s">
        <v>319</v>
      </c>
      <c r="B5">
        <v>11</v>
      </c>
      <c r="C5">
        <v>66</v>
      </c>
      <c r="D5">
        <v>23</v>
      </c>
      <c r="E5">
        <v>100</v>
      </c>
      <c r="F5" s="12">
        <f>B5/(B5+D5)</f>
        <v>0.3235294117647059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60FC-88CD-442A-AE97-4F8433B055B1}">
  <dimension ref="A3:R28"/>
  <sheetViews>
    <sheetView topLeftCell="L9" workbookViewId="0">
      <selection activeCell="A3" sqref="A3:R28"/>
    </sheetView>
  </sheetViews>
  <sheetFormatPr defaultRowHeight="14.25" x14ac:dyDescent="0.2"/>
  <cols>
    <col min="1" max="1" width="10.625" customWidth="1"/>
    <col min="2" max="2" width="14" customWidth="1"/>
    <col min="3" max="3" width="12.375" customWidth="1"/>
    <col min="4" max="4" width="9.375" customWidth="1"/>
    <col min="5" max="5" width="16.625" customWidth="1"/>
    <col min="6" max="6" width="10.875" customWidth="1"/>
    <col min="7" max="7" width="15.375" customWidth="1"/>
    <col min="8" max="8" width="18.75" customWidth="1"/>
    <col min="9" max="9" width="16.625" customWidth="1"/>
    <col min="10" max="10" width="20.375" customWidth="1"/>
    <col min="11" max="11" width="12.875" customWidth="1"/>
    <col min="12" max="12" width="15.375" customWidth="1"/>
    <col min="13" max="13" width="13.625" customWidth="1"/>
    <col min="14" max="14" width="13.5" customWidth="1"/>
    <col min="15" max="15" width="18.25" customWidth="1"/>
    <col min="16" max="16" width="23" customWidth="1"/>
    <col min="17" max="17" width="17.625" customWidth="1"/>
    <col min="18" max="18" width="22.75" customWidth="1"/>
  </cols>
  <sheetData>
    <row r="3" spans="1:18" x14ac:dyDescent="0.2">
      <c r="A3" t="s">
        <v>51</v>
      </c>
      <c r="B3" t="s">
        <v>52</v>
      </c>
      <c r="C3" t="s">
        <v>0</v>
      </c>
      <c r="D3" t="s">
        <v>1</v>
      </c>
      <c r="E3" t="s">
        <v>2</v>
      </c>
      <c r="F3" t="s">
        <v>3</v>
      </c>
      <c r="G3" t="s">
        <v>4</v>
      </c>
      <c r="H3" t="s">
        <v>5</v>
      </c>
      <c r="I3" t="s">
        <v>6</v>
      </c>
      <c r="J3" t="s">
        <v>7</v>
      </c>
      <c r="K3" t="s">
        <v>8</v>
      </c>
      <c r="L3" t="s">
        <v>9</v>
      </c>
      <c r="M3" t="s">
        <v>10</v>
      </c>
      <c r="N3" t="s">
        <v>311</v>
      </c>
      <c r="O3" t="s">
        <v>312</v>
      </c>
      <c r="P3" t="s">
        <v>313</v>
      </c>
      <c r="Q3" t="s">
        <v>249</v>
      </c>
      <c r="R3" t="s">
        <v>321</v>
      </c>
    </row>
    <row r="4" spans="1:18" x14ac:dyDescent="0.2">
      <c r="A4" t="s">
        <v>54</v>
      </c>
      <c r="B4" t="s">
        <v>55</v>
      </c>
      <c r="C4" t="s">
        <v>11</v>
      </c>
      <c r="D4" t="s">
        <v>12</v>
      </c>
      <c r="E4">
        <v>44</v>
      </c>
      <c r="F4">
        <v>1</v>
      </c>
      <c r="G4">
        <v>44</v>
      </c>
      <c r="H4" t="s">
        <v>13</v>
      </c>
      <c r="I4" t="s">
        <v>14</v>
      </c>
      <c r="J4" t="s">
        <v>15</v>
      </c>
      <c r="K4" s="13">
        <v>45291</v>
      </c>
      <c r="M4" s="13">
        <v>45293</v>
      </c>
      <c r="N4" t="s">
        <v>323</v>
      </c>
      <c r="O4" t="s">
        <v>206</v>
      </c>
      <c r="P4" t="s">
        <v>325</v>
      </c>
      <c r="Q4" t="s">
        <v>291</v>
      </c>
      <c r="R4" t="s">
        <v>325</v>
      </c>
    </row>
    <row r="5" spans="1:18" x14ac:dyDescent="0.2">
      <c r="A5" t="s">
        <v>190</v>
      </c>
      <c r="B5" t="s">
        <v>140</v>
      </c>
      <c r="C5" t="s">
        <v>41</v>
      </c>
      <c r="D5" t="s">
        <v>12</v>
      </c>
      <c r="E5">
        <v>21</v>
      </c>
      <c r="F5">
        <v>2</v>
      </c>
      <c r="G5">
        <v>42</v>
      </c>
      <c r="H5" t="s">
        <v>28</v>
      </c>
      <c r="I5" t="s">
        <v>19</v>
      </c>
      <c r="J5" t="s">
        <v>25</v>
      </c>
      <c r="K5" s="13">
        <v>45116</v>
      </c>
      <c r="L5" s="13">
        <v>45119</v>
      </c>
      <c r="N5" t="s">
        <v>322</v>
      </c>
      <c r="O5" t="s">
        <v>218</v>
      </c>
      <c r="P5">
        <v>3</v>
      </c>
      <c r="Q5" t="s">
        <v>287</v>
      </c>
      <c r="R5" t="s">
        <v>326</v>
      </c>
    </row>
    <row r="6" spans="1:18" x14ac:dyDescent="0.2">
      <c r="A6" t="s">
        <v>188</v>
      </c>
      <c r="B6" t="s">
        <v>70</v>
      </c>
      <c r="C6" t="s">
        <v>50</v>
      </c>
      <c r="D6" t="s">
        <v>12</v>
      </c>
      <c r="E6">
        <v>62</v>
      </c>
      <c r="F6">
        <v>2</v>
      </c>
      <c r="G6">
        <v>124</v>
      </c>
      <c r="H6" t="s">
        <v>18</v>
      </c>
      <c r="I6" t="s">
        <v>14</v>
      </c>
      <c r="J6" t="s">
        <v>37</v>
      </c>
      <c r="K6" s="13">
        <v>45265</v>
      </c>
      <c r="M6" s="13">
        <v>45272</v>
      </c>
      <c r="N6" t="s">
        <v>323</v>
      </c>
      <c r="O6" t="s">
        <v>203</v>
      </c>
      <c r="P6" t="s">
        <v>325</v>
      </c>
      <c r="Q6" t="s">
        <v>268</v>
      </c>
      <c r="R6" t="s">
        <v>325</v>
      </c>
    </row>
    <row r="7" spans="1:18" x14ac:dyDescent="0.2">
      <c r="A7" t="s">
        <v>59</v>
      </c>
      <c r="B7" t="s">
        <v>60</v>
      </c>
      <c r="C7" t="s">
        <v>20</v>
      </c>
      <c r="D7" t="s">
        <v>12</v>
      </c>
      <c r="E7">
        <v>196</v>
      </c>
      <c r="F7">
        <v>3</v>
      </c>
      <c r="G7">
        <v>588</v>
      </c>
      <c r="H7" t="s">
        <v>24</v>
      </c>
      <c r="I7" t="s">
        <v>14</v>
      </c>
      <c r="J7" t="s">
        <v>25</v>
      </c>
      <c r="K7" s="13">
        <v>45051</v>
      </c>
      <c r="M7" s="13">
        <v>45057</v>
      </c>
      <c r="N7" t="s">
        <v>323</v>
      </c>
      <c r="O7" t="s">
        <v>206</v>
      </c>
      <c r="P7" t="s">
        <v>325</v>
      </c>
      <c r="Q7" t="s">
        <v>308</v>
      </c>
      <c r="R7" t="s">
        <v>325</v>
      </c>
    </row>
    <row r="8" spans="1:18" x14ac:dyDescent="0.2">
      <c r="A8" t="s">
        <v>61</v>
      </c>
      <c r="B8" t="s">
        <v>62</v>
      </c>
      <c r="C8" t="s">
        <v>26</v>
      </c>
      <c r="D8" t="s">
        <v>12</v>
      </c>
      <c r="E8">
        <v>59</v>
      </c>
      <c r="F8">
        <v>1</v>
      </c>
      <c r="G8">
        <v>59</v>
      </c>
      <c r="H8" t="s">
        <v>24</v>
      </c>
      <c r="I8" t="s">
        <v>19</v>
      </c>
      <c r="J8" t="s">
        <v>27</v>
      </c>
      <c r="K8" s="13">
        <v>44959</v>
      </c>
      <c r="L8" s="13">
        <v>44962</v>
      </c>
      <c r="N8" t="s">
        <v>322</v>
      </c>
      <c r="O8" t="s">
        <v>211</v>
      </c>
      <c r="P8">
        <v>3</v>
      </c>
      <c r="Q8" t="s">
        <v>294</v>
      </c>
      <c r="R8" t="s">
        <v>326</v>
      </c>
    </row>
    <row r="9" spans="1:18" x14ac:dyDescent="0.2">
      <c r="A9" t="s">
        <v>63</v>
      </c>
      <c r="B9" t="s">
        <v>64</v>
      </c>
      <c r="C9" t="s">
        <v>26</v>
      </c>
      <c r="D9" t="s">
        <v>12</v>
      </c>
      <c r="E9">
        <v>58</v>
      </c>
      <c r="F9">
        <v>4</v>
      </c>
      <c r="G9">
        <v>232</v>
      </c>
      <c r="H9" t="s">
        <v>28</v>
      </c>
      <c r="I9" t="s">
        <v>14</v>
      </c>
      <c r="J9" t="s">
        <v>15</v>
      </c>
      <c r="K9" s="13">
        <v>45231</v>
      </c>
      <c r="M9" s="13">
        <v>45232</v>
      </c>
      <c r="N9" t="s">
        <v>323</v>
      </c>
      <c r="O9" t="s">
        <v>211</v>
      </c>
      <c r="P9" t="s">
        <v>325</v>
      </c>
      <c r="Q9" t="s">
        <v>275</v>
      </c>
      <c r="R9" t="s">
        <v>325</v>
      </c>
    </row>
    <row r="10" spans="1:18" x14ac:dyDescent="0.2">
      <c r="A10" t="s">
        <v>185</v>
      </c>
      <c r="B10" t="s">
        <v>70</v>
      </c>
      <c r="C10" t="s">
        <v>36</v>
      </c>
      <c r="D10" t="s">
        <v>12</v>
      </c>
      <c r="E10">
        <v>248</v>
      </c>
      <c r="F10">
        <v>5</v>
      </c>
      <c r="G10">
        <v>1240</v>
      </c>
      <c r="H10" t="s">
        <v>24</v>
      </c>
      <c r="I10" t="s">
        <v>14</v>
      </c>
      <c r="J10" t="s">
        <v>25</v>
      </c>
      <c r="K10" s="13">
        <v>44978</v>
      </c>
      <c r="M10" s="13">
        <v>44982</v>
      </c>
      <c r="N10" t="s">
        <v>323</v>
      </c>
      <c r="O10" t="s">
        <v>200</v>
      </c>
      <c r="P10" t="s">
        <v>325</v>
      </c>
      <c r="Q10" t="s">
        <v>268</v>
      </c>
      <c r="R10" t="s">
        <v>325</v>
      </c>
    </row>
    <row r="11" spans="1:18" x14ac:dyDescent="0.2">
      <c r="A11" t="s">
        <v>172</v>
      </c>
      <c r="B11" t="s">
        <v>73</v>
      </c>
      <c r="C11" t="s">
        <v>40</v>
      </c>
      <c r="D11" t="s">
        <v>12</v>
      </c>
      <c r="E11">
        <v>27</v>
      </c>
      <c r="F11">
        <v>5</v>
      </c>
      <c r="G11">
        <v>135</v>
      </c>
      <c r="H11" t="s">
        <v>18</v>
      </c>
      <c r="I11" t="s">
        <v>14</v>
      </c>
      <c r="J11" t="s">
        <v>27</v>
      </c>
      <c r="K11" s="13">
        <v>45092</v>
      </c>
      <c r="M11" s="13">
        <v>45095</v>
      </c>
      <c r="N11" t="s">
        <v>323</v>
      </c>
      <c r="O11" t="s">
        <v>211</v>
      </c>
      <c r="P11" t="s">
        <v>325</v>
      </c>
      <c r="Q11" t="s">
        <v>257</v>
      </c>
      <c r="R11" t="s">
        <v>325</v>
      </c>
    </row>
    <row r="12" spans="1:18" x14ac:dyDescent="0.2">
      <c r="A12" t="s">
        <v>169</v>
      </c>
      <c r="B12" t="s">
        <v>153</v>
      </c>
      <c r="C12" t="s">
        <v>11</v>
      </c>
      <c r="D12" t="s">
        <v>12</v>
      </c>
      <c r="E12">
        <v>46</v>
      </c>
      <c r="F12">
        <v>1</v>
      </c>
      <c r="G12">
        <v>46</v>
      </c>
      <c r="H12" t="s">
        <v>28</v>
      </c>
      <c r="I12" t="s">
        <v>22</v>
      </c>
      <c r="J12" t="s">
        <v>25</v>
      </c>
      <c r="K12" s="13">
        <v>45017</v>
      </c>
      <c r="N12" t="s">
        <v>322</v>
      </c>
      <c r="O12" t="s">
        <v>206</v>
      </c>
      <c r="P12" t="s">
        <v>325</v>
      </c>
      <c r="Q12" t="s">
        <v>264</v>
      </c>
      <c r="R12" t="s">
        <v>325</v>
      </c>
    </row>
    <row r="13" spans="1:18" x14ac:dyDescent="0.2">
      <c r="A13" t="s">
        <v>166</v>
      </c>
      <c r="B13" t="s">
        <v>77</v>
      </c>
      <c r="C13" t="s">
        <v>34</v>
      </c>
      <c r="D13" t="s">
        <v>12</v>
      </c>
      <c r="E13">
        <v>43</v>
      </c>
      <c r="F13">
        <v>4</v>
      </c>
      <c r="G13">
        <v>172</v>
      </c>
      <c r="H13" t="s">
        <v>31</v>
      </c>
      <c r="I13" t="s">
        <v>19</v>
      </c>
      <c r="J13" t="s">
        <v>15</v>
      </c>
      <c r="K13" s="13">
        <v>45172</v>
      </c>
      <c r="L13" s="13">
        <v>45178</v>
      </c>
      <c r="N13" t="s">
        <v>322</v>
      </c>
      <c r="O13" t="s">
        <v>211</v>
      </c>
      <c r="P13">
        <v>6</v>
      </c>
      <c r="Q13" t="s">
        <v>292</v>
      </c>
      <c r="R13" t="s">
        <v>326</v>
      </c>
    </row>
    <row r="14" spans="1:18" x14ac:dyDescent="0.2">
      <c r="A14" t="s">
        <v>163</v>
      </c>
      <c r="B14" t="s">
        <v>95</v>
      </c>
      <c r="C14" t="s">
        <v>38</v>
      </c>
      <c r="D14" t="s">
        <v>12</v>
      </c>
      <c r="E14">
        <v>95</v>
      </c>
      <c r="F14">
        <v>2</v>
      </c>
      <c r="G14">
        <v>190</v>
      </c>
      <c r="H14" t="s">
        <v>24</v>
      </c>
      <c r="I14" t="s">
        <v>14</v>
      </c>
      <c r="J14" t="s">
        <v>25</v>
      </c>
      <c r="K14" s="13">
        <v>45129</v>
      </c>
      <c r="M14" s="13">
        <v>45132</v>
      </c>
      <c r="N14" t="s">
        <v>323</v>
      </c>
      <c r="O14" t="s">
        <v>211</v>
      </c>
      <c r="P14" t="s">
        <v>325</v>
      </c>
      <c r="Q14" t="s">
        <v>295</v>
      </c>
      <c r="R14" t="s">
        <v>325</v>
      </c>
    </row>
    <row r="15" spans="1:18" x14ac:dyDescent="0.2">
      <c r="A15" t="s">
        <v>156</v>
      </c>
      <c r="B15" t="s">
        <v>157</v>
      </c>
      <c r="C15" t="s">
        <v>49</v>
      </c>
      <c r="D15" t="s">
        <v>12</v>
      </c>
      <c r="E15">
        <v>31</v>
      </c>
      <c r="F15">
        <v>4</v>
      </c>
      <c r="G15">
        <v>124</v>
      </c>
      <c r="H15" t="s">
        <v>18</v>
      </c>
      <c r="I15" t="s">
        <v>19</v>
      </c>
      <c r="J15" t="s">
        <v>25</v>
      </c>
      <c r="K15" s="13">
        <v>45135</v>
      </c>
      <c r="L15" s="13">
        <v>45137</v>
      </c>
      <c r="N15" t="s">
        <v>322</v>
      </c>
      <c r="O15" t="s">
        <v>203</v>
      </c>
      <c r="P15">
        <v>2</v>
      </c>
      <c r="Q15" t="s">
        <v>347</v>
      </c>
      <c r="R15" t="s">
        <v>324</v>
      </c>
    </row>
    <row r="16" spans="1:18" x14ac:dyDescent="0.2">
      <c r="A16" t="s">
        <v>148</v>
      </c>
      <c r="B16" t="s">
        <v>149</v>
      </c>
      <c r="C16" t="s">
        <v>43</v>
      </c>
      <c r="D16" t="s">
        <v>12</v>
      </c>
      <c r="E16">
        <v>815</v>
      </c>
      <c r="F16">
        <v>4</v>
      </c>
      <c r="G16">
        <v>3260</v>
      </c>
      <c r="H16" t="s">
        <v>18</v>
      </c>
      <c r="I16" t="s">
        <v>19</v>
      </c>
      <c r="J16" t="s">
        <v>23</v>
      </c>
      <c r="K16" s="13">
        <v>45252</v>
      </c>
      <c r="L16" s="13">
        <v>45259</v>
      </c>
      <c r="N16" t="s">
        <v>322</v>
      </c>
      <c r="O16" t="s">
        <v>200</v>
      </c>
      <c r="P16">
        <v>7</v>
      </c>
      <c r="Q16" t="s">
        <v>286</v>
      </c>
      <c r="R16" t="s">
        <v>326</v>
      </c>
    </row>
    <row r="17" spans="1:18" x14ac:dyDescent="0.2">
      <c r="A17" t="s">
        <v>143</v>
      </c>
      <c r="B17" t="s">
        <v>144</v>
      </c>
      <c r="C17" t="s">
        <v>20</v>
      </c>
      <c r="D17" t="s">
        <v>12</v>
      </c>
      <c r="E17">
        <v>195</v>
      </c>
      <c r="F17">
        <v>4</v>
      </c>
      <c r="G17">
        <v>780</v>
      </c>
      <c r="H17" t="s">
        <v>24</v>
      </c>
      <c r="I17" t="s">
        <v>14</v>
      </c>
      <c r="J17" t="s">
        <v>37</v>
      </c>
      <c r="K17" s="13">
        <v>45018</v>
      </c>
      <c r="M17" s="13">
        <v>45021</v>
      </c>
      <c r="N17" t="s">
        <v>323</v>
      </c>
      <c r="O17" t="s">
        <v>206</v>
      </c>
      <c r="P17" t="s">
        <v>325</v>
      </c>
      <c r="Q17" t="s">
        <v>261</v>
      </c>
      <c r="R17" t="s">
        <v>325</v>
      </c>
    </row>
    <row r="18" spans="1:18" x14ac:dyDescent="0.2">
      <c r="A18" t="s">
        <v>142</v>
      </c>
      <c r="B18" t="s">
        <v>55</v>
      </c>
      <c r="C18" t="s">
        <v>46</v>
      </c>
      <c r="D18" t="s">
        <v>12</v>
      </c>
      <c r="E18">
        <v>11</v>
      </c>
      <c r="F18">
        <v>5</v>
      </c>
      <c r="G18">
        <v>55</v>
      </c>
      <c r="H18" t="s">
        <v>18</v>
      </c>
      <c r="I18" t="s">
        <v>22</v>
      </c>
      <c r="J18" t="s">
        <v>37</v>
      </c>
      <c r="K18" s="13">
        <v>45054</v>
      </c>
      <c r="N18" t="s">
        <v>322</v>
      </c>
      <c r="O18" t="s">
        <v>218</v>
      </c>
      <c r="P18" t="s">
        <v>325</v>
      </c>
      <c r="Q18" t="s">
        <v>291</v>
      </c>
      <c r="R18" t="s">
        <v>325</v>
      </c>
    </row>
    <row r="19" spans="1:18" x14ac:dyDescent="0.2">
      <c r="A19" t="s">
        <v>137</v>
      </c>
      <c r="B19" t="s">
        <v>100</v>
      </c>
      <c r="C19" t="s">
        <v>50</v>
      </c>
      <c r="D19" t="s">
        <v>12</v>
      </c>
      <c r="E19">
        <v>64</v>
      </c>
      <c r="F19">
        <v>1</v>
      </c>
      <c r="G19">
        <v>64</v>
      </c>
      <c r="H19" t="s">
        <v>13</v>
      </c>
      <c r="I19" t="s">
        <v>14</v>
      </c>
      <c r="J19" t="s">
        <v>23</v>
      </c>
      <c r="K19" s="13">
        <v>44991</v>
      </c>
      <c r="M19" s="13">
        <v>44998</v>
      </c>
      <c r="N19" t="s">
        <v>323</v>
      </c>
      <c r="O19" t="s">
        <v>203</v>
      </c>
      <c r="P19" t="s">
        <v>325</v>
      </c>
      <c r="Q19" t="s">
        <v>288</v>
      </c>
      <c r="R19" t="s">
        <v>325</v>
      </c>
    </row>
    <row r="20" spans="1:18" x14ac:dyDescent="0.2">
      <c r="A20" t="s">
        <v>135</v>
      </c>
      <c r="B20" t="s">
        <v>105</v>
      </c>
      <c r="C20" t="s">
        <v>41</v>
      </c>
      <c r="D20" t="s">
        <v>12</v>
      </c>
      <c r="E20">
        <v>22</v>
      </c>
      <c r="F20">
        <v>1</v>
      </c>
      <c r="G20">
        <v>22</v>
      </c>
      <c r="H20" t="s">
        <v>31</v>
      </c>
      <c r="I20" t="s">
        <v>19</v>
      </c>
      <c r="J20" t="s">
        <v>37</v>
      </c>
      <c r="K20" s="13">
        <v>44956</v>
      </c>
      <c r="L20" s="13">
        <v>44958</v>
      </c>
      <c r="N20" t="s">
        <v>322</v>
      </c>
      <c r="O20" t="s">
        <v>218</v>
      </c>
      <c r="P20">
        <v>2</v>
      </c>
      <c r="Q20" t="s">
        <v>273</v>
      </c>
      <c r="R20" t="s">
        <v>324</v>
      </c>
    </row>
    <row r="21" spans="1:18" x14ac:dyDescent="0.2">
      <c r="A21" t="s">
        <v>134</v>
      </c>
      <c r="B21" t="s">
        <v>87</v>
      </c>
      <c r="C21" t="s">
        <v>32</v>
      </c>
      <c r="D21" t="s">
        <v>12</v>
      </c>
      <c r="E21">
        <v>37</v>
      </c>
      <c r="F21">
        <v>1</v>
      </c>
      <c r="G21">
        <v>37</v>
      </c>
      <c r="H21" t="s">
        <v>13</v>
      </c>
      <c r="I21" t="s">
        <v>22</v>
      </c>
      <c r="J21" t="s">
        <v>25</v>
      </c>
      <c r="K21" s="13">
        <v>45201</v>
      </c>
      <c r="N21" t="s">
        <v>322</v>
      </c>
      <c r="O21" t="s">
        <v>206</v>
      </c>
      <c r="P21" t="s">
        <v>325</v>
      </c>
      <c r="Q21" t="s">
        <v>306</v>
      </c>
      <c r="R21" t="s">
        <v>325</v>
      </c>
    </row>
    <row r="22" spans="1:18" x14ac:dyDescent="0.2">
      <c r="A22" t="s">
        <v>129</v>
      </c>
      <c r="B22" t="s">
        <v>87</v>
      </c>
      <c r="C22" t="s">
        <v>29</v>
      </c>
      <c r="D22" t="s">
        <v>12</v>
      </c>
      <c r="E22">
        <v>104</v>
      </c>
      <c r="F22">
        <v>1</v>
      </c>
      <c r="G22">
        <v>104</v>
      </c>
      <c r="H22" t="s">
        <v>24</v>
      </c>
      <c r="I22" t="s">
        <v>19</v>
      </c>
      <c r="J22" t="s">
        <v>27</v>
      </c>
      <c r="K22" s="13">
        <v>45124</v>
      </c>
      <c r="L22" s="13">
        <v>45126</v>
      </c>
      <c r="N22" t="s">
        <v>322</v>
      </c>
      <c r="O22" t="s">
        <v>200</v>
      </c>
      <c r="P22">
        <v>2</v>
      </c>
      <c r="Q22" t="s">
        <v>306</v>
      </c>
      <c r="R22" t="s">
        <v>324</v>
      </c>
    </row>
    <row r="23" spans="1:18" x14ac:dyDescent="0.2">
      <c r="A23" t="s">
        <v>88</v>
      </c>
      <c r="B23" t="s">
        <v>89</v>
      </c>
      <c r="C23" t="s">
        <v>43</v>
      </c>
      <c r="D23" t="s">
        <v>12</v>
      </c>
      <c r="E23">
        <v>813</v>
      </c>
      <c r="F23">
        <v>2</v>
      </c>
      <c r="G23">
        <v>1626</v>
      </c>
      <c r="H23" t="s">
        <v>18</v>
      </c>
      <c r="I23" t="s">
        <v>22</v>
      </c>
      <c r="J23" t="s">
        <v>37</v>
      </c>
      <c r="K23" s="13">
        <v>45028</v>
      </c>
      <c r="N23" t="s">
        <v>322</v>
      </c>
      <c r="O23" t="s">
        <v>200</v>
      </c>
      <c r="P23" t="s">
        <v>325</v>
      </c>
      <c r="Q23" t="s">
        <v>287</v>
      </c>
      <c r="R23" t="s">
        <v>325</v>
      </c>
    </row>
    <row r="24" spans="1:18" x14ac:dyDescent="0.2">
      <c r="A24" t="s">
        <v>127</v>
      </c>
      <c r="B24" t="s">
        <v>128</v>
      </c>
      <c r="C24" t="s">
        <v>39</v>
      </c>
      <c r="D24" t="s">
        <v>12</v>
      </c>
      <c r="E24">
        <v>73</v>
      </c>
      <c r="F24">
        <v>4</v>
      </c>
      <c r="G24">
        <v>292</v>
      </c>
      <c r="H24" t="s">
        <v>18</v>
      </c>
      <c r="I24" t="s">
        <v>19</v>
      </c>
      <c r="J24" t="s">
        <v>27</v>
      </c>
      <c r="K24" s="13">
        <v>45264</v>
      </c>
      <c r="L24" s="13">
        <v>45268</v>
      </c>
      <c r="N24" t="s">
        <v>322</v>
      </c>
      <c r="O24" t="s">
        <v>200</v>
      </c>
      <c r="P24">
        <v>4</v>
      </c>
      <c r="Q24" t="s">
        <v>304</v>
      </c>
      <c r="R24" t="s">
        <v>326</v>
      </c>
    </row>
    <row r="25" spans="1:18" x14ac:dyDescent="0.2">
      <c r="A25" t="s">
        <v>116</v>
      </c>
      <c r="B25" t="s">
        <v>95</v>
      </c>
      <c r="C25" t="s">
        <v>49</v>
      </c>
      <c r="D25" t="s">
        <v>12</v>
      </c>
      <c r="E25">
        <v>32</v>
      </c>
      <c r="F25">
        <v>2</v>
      </c>
      <c r="G25">
        <v>64</v>
      </c>
      <c r="H25" t="s">
        <v>31</v>
      </c>
      <c r="I25" t="s">
        <v>14</v>
      </c>
      <c r="J25" t="s">
        <v>37</v>
      </c>
      <c r="K25" s="13">
        <v>45160</v>
      </c>
      <c r="M25" s="13">
        <v>45162</v>
      </c>
      <c r="N25" t="s">
        <v>323</v>
      </c>
      <c r="O25" t="s">
        <v>203</v>
      </c>
      <c r="P25" t="s">
        <v>325</v>
      </c>
      <c r="Q25" t="s">
        <v>295</v>
      </c>
      <c r="R25" t="s">
        <v>325</v>
      </c>
    </row>
    <row r="26" spans="1:18" x14ac:dyDescent="0.2">
      <c r="A26" t="s">
        <v>114</v>
      </c>
      <c r="B26" t="s">
        <v>107</v>
      </c>
      <c r="C26" t="s">
        <v>48</v>
      </c>
      <c r="D26" t="s">
        <v>12</v>
      </c>
      <c r="E26">
        <v>212</v>
      </c>
      <c r="F26">
        <v>3</v>
      </c>
      <c r="G26">
        <v>636</v>
      </c>
      <c r="H26" t="s">
        <v>28</v>
      </c>
      <c r="I26" t="s">
        <v>22</v>
      </c>
      <c r="J26" t="s">
        <v>25</v>
      </c>
      <c r="K26" s="13">
        <v>45130</v>
      </c>
      <c r="N26" t="s">
        <v>322</v>
      </c>
      <c r="O26" t="s">
        <v>206</v>
      </c>
      <c r="P26" t="s">
        <v>325</v>
      </c>
      <c r="Q26" t="s">
        <v>273</v>
      </c>
      <c r="R26" t="s">
        <v>325</v>
      </c>
    </row>
    <row r="27" spans="1:18" x14ac:dyDescent="0.2">
      <c r="A27" t="s">
        <v>106</v>
      </c>
      <c r="B27" t="s">
        <v>107</v>
      </c>
      <c r="C27" t="s">
        <v>44</v>
      </c>
      <c r="D27" t="s">
        <v>12</v>
      </c>
      <c r="E27">
        <v>42</v>
      </c>
      <c r="F27">
        <v>5</v>
      </c>
      <c r="G27">
        <v>210</v>
      </c>
      <c r="H27" t="s">
        <v>28</v>
      </c>
      <c r="I27" t="s">
        <v>22</v>
      </c>
      <c r="J27" t="s">
        <v>25</v>
      </c>
      <c r="K27" s="13">
        <v>45011</v>
      </c>
      <c r="N27" t="s">
        <v>322</v>
      </c>
      <c r="O27" t="s">
        <v>203</v>
      </c>
      <c r="P27" t="s">
        <v>325</v>
      </c>
      <c r="Q27" t="s">
        <v>273</v>
      </c>
      <c r="R27" t="s">
        <v>325</v>
      </c>
    </row>
    <row r="28" spans="1:18" x14ac:dyDescent="0.2">
      <c r="A28" t="s">
        <v>104</v>
      </c>
      <c r="B28" t="s">
        <v>105</v>
      </c>
      <c r="C28" t="s">
        <v>42</v>
      </c>
      <c r="D28" t="s">
        <v>12</v>
      </c>
      <c r="E28">
        <v>69</v>
      </c>
      <c r="F28">
        <v>5</v>
      </c>
      <c r="G28">
        <v>345</v>
      </c>
      <c r="H28" t="s">
        <v>28</v>
      </c>
      <c r="I28" t="s">
        <v>22</v>
      </c>
      <c r="J28" t="s">
        <v>27</v>
      </c>
      <c r="K28" s="13">
        <v>44971</v>
      </c>
      <c r="N28" t="s">
        <v>322</v>
      </c>
      <c r="O28" t="s">
        <v>218</v>
      </c>
      <c r="P28" t="s">
        <v>325</v>
      </c>
      <c r="Q28" t="s">
        <v>273</v>
      </c>
      <c r="R28" t="s">
        <v>325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9F322-8232-4C34-BC4D-35FF70B21D67}">
  <dimension ref="A3:B7"/>
  <sheetViews>
    <sheetView topLeftCell="AD1" workbookViewId="0">
      <selection activeCell="A3" sqref="A3:B7"/>
    </sheetView>
  </sheetViews>
  <sheetFormatPr defaultRowHeight="14.25" x14ac:dyDescent="0.2"/>
  <cols>
    <col min="1" max="1" width="13" customWidth="1"/>
    <col min="2" max="2" width="19.75" customWidth="1"/>
  </cols>
  <sheetData>
    <row r="3" spans="1:2" x14ac:dyDescent="0.2">
      <c r="A3" s="9" t="s">
        <v>314</v>
      </c>
      <c r="B3" t="s">
        <v>316</v>
      </c>
    </row>
    <row r="4" spans="1:2" x14ac:dyDescent="0.2">
      <c r="A4" s="10" t="s">
        <v>12</v>
      </c>
      <c r="B4">
        <v>10491</v>
      </c>
    </row>
    <row r="5" spans="1:2" x14ac:dyDescent="0.2">
      <c r="A5" s="10" t="s">
        <v>21</v>
      </c>
      <c r="B5">
        <v>7317</v>
      </c>
    </row>
    <row r="6" spans="1:2" x14ac:dyDescent="0.2">
      <c r="A6" s="10" t="s">
        <v>33</v>
      </c>
      <c r="B6">
        <v>8359</v>
      </c>
    </row>
    <row r="7" spans="1:2" x14ac:dyDescent="0.2">
      <c r="A7" s="10" t="s">
        <v>315</v>
      </c>
      <c r="B7">
        <v>26167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B11F-5885-4696-B93D-2FB84ABE2859}">
  <dimension ref="A3:B6"/>
  <sheetViews>
    <sheetView workbookViewId="0">
      <selection activeCell="A3" sqref="A3:B6"/>
    </sheetView>
  </sheetViews>
  <sheetFormatPr defaultRowHeight="14.25" x14ac:dyDescent="0.2"/>
  <cols>
    <col min="1" max="1" width="13" customWidth="1"/>
    <col min="2" max="2" width="21.375" customWidth="1"/>
  </cols>
  <sheetData>
    <row r="3" spans="1:2" x14ac:dyDescent="0.2">
      <c r="A3" s="9" t="s">
        <v>314</v>
      </c>
      <c r="B3" t="s">
        <v>329</v>
      </c>
    </row>
    <row r="4" spans="1:2" x14ac:dyDescent="0.2">
      <c r="A4" s="10" t="s">
        <v>208</v>
      </c>
      <c r="B4">
        <v>8</v>
      </c>
    </row>
    <row r="5" spans="1:2" x14ac:dyDescent="0.2">
      <c r="A5" s="10" t="s">
        <v>210</v>
      </c>
      <c r="B5">
        <v>8</v>
      </c>
    </row>
    <row r="6" spans="1:2" x14ac:dyDescent="0.2">
      <c r="A6" s="10" t="s">
        <v>315</v>
      </c>
      <c r="B6">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2DA-14EC-4367-BCBF-546DC471CEB6}">
  <dimension ref="A3:B9"/>
  <sheetViews>
    <sheetView workbookViewId="0">
      <selection activeCell="A3" sqref="A3:B8"/>
    </sheetView>
  </sheetViews>
  <sheetFormatPr defaultRowHeight="14.25" x14ac:dyDescent="0.2"/>
  <cols>
    <col min="1" max="1" width="13.625" bestFit="1" customWidth="1"/>
    <col min="2" max="2" width="20.25" bestFit="1" customWidth="1"/>
  </cols>
  <sheetData>
    <row r="3" spans="1:2" x14ac:dyDescent="0.2">
      <c r="A3" s="9" t="s">
        <v>314</v>
      </c>
      <c r="B3" t="s">
        <v>316</v>
      </c>
    </row>
    <row r="4" spans="1:2" x14ac:dyDescent="0.2">
      <c r="A4" s="10" t="s">
        <v>30</v>
      </c>
      <c r="B4" s="25">
        <v>5456</v>
      </c>
    </row>
    <row r="5" spans="1:2" x14ac:dyDescent="0.2">
      <c r="A5" s="10" t="s">
        <v>17</v>
      </c>
      <c r="B5" s="25">
        <v>3635</v>
      </c>
    </row>
    <row r="6" spans="1:2" x14ac:dyDescent="0.2">
      <c r="A6" s="10" t="s">
        <v>12</v>
      </c>
      <c r="B6" s="25">
        <v>10491</v>
      </c>
    </row>
    <row r="7" spans="1:2" x14ac:dyDescent="0.2">
      <c r="A7" s="10" t="s">
        <v>21</v>
      </c>
      <c r="B7" s="25">
        <v>7317</v>
      </c>
    </row>
    <row r="8" spans="1:2" x14ac:dyDescent="0.2">
      <c r="A8" s="10" t="s">
        <v>33</v>
      </c>
      <c r="B8" s="25">
        <v>8359</v>
      </c>
    </row>
    <row r="9" spans="1:2" x14ac:dyDescent="0.2">
      <c r="A9" s="10" t="s">
        <v>315</v>
      </c>
      <c r="B9" s="25">
        <v>35258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325DB-FFB2-49D8-B0D6-419048429F0D}">
  <dimension ref="A1:D6"/>
  <sheetViews>
    <sheetView workbookViewId="0">
      <selection activeCell="D15" sqref="D15"/>
    </sheetView>
  </sheetViews>
  <sheetFormatPr defaultRowHeight="14.25" x14ac:dyDescent="0.2"/>
  <cols>
    <col min="1" max="1" width="10.875" customWidth="1"/>
    <col min="2" max="2" width="12.5" customWidth="1"/>
  </cols>
  <sheetData>
    <row r="1" spans="1:4" x14ac:dyDescent="0.2">
      <c r="A1" t="s">
        <v>314</v>
      </c>
      <c r="B1" t="s">
        <v>345</v>
      </c>
      <c r="C1" t="s">
        <v>343</v>
      </c>
      <c r="D1" t="s">
        <v>344</v>
      </c>
    </row>
    <row r="2" spans="1:4" x14ac:dyDescent="0.2">
      <c r="A2" t="s">
        <v>30</v>
      </c>
      <c r="B2">
        <v>5456</v>
      </c>
      <c r="C2">
        <f>IF(B2&gt;=5000,B2,NA())</f>
        <v>5456</v>
      </c>
      <c r="D2" t="e">
        <f>IF(B2&lt;=5000,B2,NA())</f>
        <v>#N/A</v>
      </c>
    </row>
    <row r="3" spans="1:4" x14ac:dyDescent="0.2">
      <c r="A3" t="s">
        <v>17</v>
      </c>
      <c r="B3">
        <v>3503</v>
      </c>
      <c r="C3" t="e">
        <f t="shared" ref="C3:C6" si="0">IF(B3&gt;=5000,B3,NA())</f>
        <v>#N/A</v>
      </c>
      <c r="D3">
        <f t="shared" ref="D3:D6" si="1">IF(B3&lt;=5000,B3,NA())</f>
        <v>3503</v>
      </c>
    </row>
    <row r="4" spans="1:4" x14ac:dyDescent="0.2">
      <c r="A4" t="s">
        <v>12</v>
      </c>
      <c r="B4">
        <v>10491</v>
      </c>
      <c r="C4">
        <f t="shared" si="0"/>
        <v>10491</v>
      </c>
      <c r="D4" t="e">
        <f t="shared" si="1"/>
        <v>#N/A</v>
      </c>
    </row>
    <row r="5" spans="1:4" x14ac:dyDescent="0.2">
      <c r="A5" t="s">
        <v>21</v>
      </c>
      <c r="B5">
        <v>6931</v>
      </c>
      <c r="C5">
        <f t="shared" si="0"/>
        <v>6931</v>
      </c>
      <c r="D5" t="e">
        <f t="shared" si="1"/>
        <v>#N/A</v>
      </c>
    </row>
    <row r="6" spans="1:4" x14ac:dyDescent="0.2">
      <c r="A6" t="s">
        <v>33</v>
      </c>
      <c r="B6">
        <v>8359</v>
      </c>
      <c r="C6">
        <f t="shared" si="0"/>
        <v>8359</v>
      </c>
      <c r="D6" t="e">
        <f t="shared" si="1"/>
        <v>#N/A</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0E39-35C0-4D0F-9423-4429B7021A53}">
  <dimension ref="A3:B9"/>
  <sheetViews>
    <sheetView workbookViewId="0">
      <selection activeCell="Z27" sqref="Z27"/>
    </sheetView>
  </sheetViews>
  <sheetFormatPr defaultRowHeight="14.25" x14ac:dyDescent="0.2"/>
  <cols>
    <col min="1" max="1" width="13.625" bestFit="1" customWidth="1"/>
    <col min="2" max="2" width="20.25" bestFit="1" customWidth="1"/>
  </cols>
  <sheetData>
    <row r="3" spans="1:2" x14ac:dyDescent="0.2">
      <c r="A3" s="9" t="s">
        <v>314</v>
      </c>
      <c r="B3" t="s">
        <v>316</v>
      </c>
    </row>
    <row r="4" spans="1:2" x14ac:dyDescent="0.2">
      <c r="A4" s="10" t="s">
        <v>28</v>
      </c>
      <c r="B4" s="25">
        <v>4374</v>
      </c>
    </row>
    <row r="5" spans="1:2" x14ac:dyDescent="0.2">
      <c r="A5" s="10" t="s">
        <v>13</v>
      </c>
      <c r="B5" s="25">
        <v>5452</v>
      </c>
    </row>
    <row r="6" spans="1:2" x14ac:dyDescent="0.2">
      <c r="A6" s="10" t="s">
        <v>18</v>
      </c>
      <c r="B6" s="25">
        <v>9398</v>
      </c>
    </row>
    <row r="7" spans="1:2" x14ac:dyDescent="0.2">
      <c r="A7" s="10" t="s">
        <v>31</v>
      </c>
      <c r="B7" s="25">
        <v>8326</v>
      </c>
    </row>
    <row r="8" spans="1:2" x14ac:dyDescent="0.2">
      <c r="A8" s="10" t="s">
        <v>24</v>
      </c>
      <c r="B8" s="25">
        <v>5521</v>
      </c>
    </row>
    <row r="9" spans="1:2" x14ac:dyDescent="0.2">
      <c r="A9" s="10" t="s">
        <v>315</v>
      </c>
      <c r="B9" s="25">
        <v>33071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topLeftCell="J1" workbookViewId="0">
      <selection activeCell="H14" sqref="H14"/>
    </sheetView>
  </sheetViews>
  <sheetFormatPr defaultColWidth="8.75" defaultRowHeight="14.25" x14ac:dyDescent="0.2"/>
  <cols>
    <col min="1" max="1" width="9.75" customWidth="1"/>
    <col min="2" max="2" width="16" customWidth="1"/>
    <col min="3" max="3" width="9.75" customWidth="1"/>
    <col min="4" max="4" width="9.25" customWidth="1"/>
    <col min="5" max="5" width="50.875" customWidth="1"/>
  </cols>
  <sheetData>
    <row r="1" spans="1:5" x14ac:dyDescent="0.2">
      <c r="A1" s="4" t="s">
        <v>0</v>
      </c>
      <c r="B1" s="4" t="s">
        <v>53</v>
      </c>
      <c r="C1" s="4" t="s">
        <v>196</v>
      </c>
      <c r="D1" s="5" t="s">
        <v>197</v>
      </c>
      <c r="E1" s="4" t="s">
        <v>198</v>
      </c>
    </row>
    <row r="2" spans="1:5" x14ac:dyDescent="0.2">
      <c r="A2" s="6" t="s">
        <v>43</v>
      </c>
      <c r="B2" s="6" t="s">
        <v>199</v>
      </c>
      <c r="C2" s="6" t="s">
        <v>200</v>
      </c>
      <c r="D2" s="7">
        <v>749</v>
      </c>
      <c r="E2" s="6" t="s">
        <v>201</v>
      </c>
    </row>
    <row r="3" spans="1:5" x14ac:dyDescent="0.2">
      <c r="A3" s="6" t="s">
        <v>44</v>
      </c>
      <c r="B3" s="6" t="s">
        <v>202</v>
      </c>
      <c r="C3" s="6" t="s">
        <v>203</v>
      </c>
      <c r="D3" s="7">
        <v>39</v>
      </c>
      <c r="E3" s="6" t="s">
        <v>204</v>
      </c>
    </row>
    <row r="4" spans="1:5" x14ac:dyDescent="0.2">
      <c r="A4" s="6" t="s">
        <v>35</v>
      </c>
      <c r="B4" s="6" t="s">
        <v>205</v>
      </c>
      <c r="C4" s="6" t="s">
        <v>206</v>
      </c>
      <c r="D4" s="7">
        <v>129</v>
      </c>
      <c r="E4" s="6" t="s">
        <v>207</v>
      </c>
    </row>
    <row r="5" spans="1:5" x14ac:dyDescent="0.2">
      <c r="A5" s="6" t="s">
        <v>50</v>
      </c>
      <c r="B5" s="6" t="s">
        <v>208</v>
      </c>
      <c r="C5" s="6" t="s">
        <v>203</v>
      </c>
      <c r="D5" s="7">
        <v>59</v>
      </c>
      <c r="E5" s="6" t="s">
        <v>209</v>
      </c>
    </row>
    <row r="6" spans="1:5" x14ac:dyDescent="0.2">
      <c r="A6" s="6" t="s">
        <v>40</v>
      </c>
      <c r="B6" s="6" t="s">
        <v>210</v>
      </c>
      <c r="C6" s="6" t="s">
        <v>211</v>
      </c>
      <c r="D6" s="7">
        <v>25</v>
      </c>
      <c r="E6" s="6" t="s">
        <v>212</v>
      </c>
    </row>
    <row r="7" spans="1:5" x14ac:dyDescent="0.2">
      <c r="A7" s="6" t="s">
        <v>38</v>
      </c>
      <c r="B7" s="6" t="s">
        <v>213</v>
      </c>
      <c r="C7" s="6" t="s">
        <v>211</v>
      </c>
      <c r="D7" s="7">
        <v>89</v>
      </c>
      <c r="E7" s="6" t="s">
        <v>214</v>
      </c>
    </row>
    <row r="8" spans="1:5" x14ac:dyDescent="0.2">
      <c r="A8" s="6" t="s">
        <v>49</v>
      </c>
      <c r="B8" s="6" t="s">
        <v>215</v>
      </c>
      <c r="C8" s="6" t="s">
        <v>203</v>
      </c>
      <c r="D8" s="7">
        <v>29</v>
      </c>
      <c r="E8" s="6" t="s">
        <v>216</v>
      </c>
    </row>
    <row r="9" spans="1:5" x14ac:dyDescent="0.2">
      <c r="A9" s="6" t="s">
        <v>42</v>
      </c>
      <c r="B9" s="6" t="s">
        <v>217</v>
      </c>
      <c r="C9" s="6" t="s">
        <v>218</v>
      </c>
      <c r="D9" s="7">
        <v>65</v>
      </c>
      <c r="E9" s="6" t="s">
        <v>219</v>
      </c>
    </row>
    <row r="10" spans="1:5" x14ac:dyDescent="0.2">
      <c r="A10" s="6" t="s">
        <v>46</v>
      </c>
      <c r="B10" s="6" t="s">
        <v>220</v>
      </c>
      <c r="C10" s="6" t="s">
        <v>218</v>
      </c>
      <c r="D10" s="7">
        <v>10</v>
      </c>
      <c r="E10" s="6" t="s">
        <v>221</v>
      </c>
    </row>
    <row r="11" spans="1:5" x14ac:dyDescent="0.2">
      <c r="A11" s="6" t="s">
        <v>26</v>
      </c>
      <c r="B11" s="6" t="s">
        <v>222</v>
      </c>
      <c r="C11" s="6" t="s">
        <v>211</v>
      </c>
      <c r="D11" s="7">
        <v>55</v>
      </c>
      <c r="E11" s="6" t="s">
        <v>223</v>
      </c>
    </row>
    <row r="12" spans="1:5" x14ac:dyDescent="0.2">
      <c r="A12" s="6" t="s">
        <v>47</v>
      </c>
      <c r="B12" s="6" t="s">
        <v>224</v>
      </c>
      <c r="C12" s="6" t="s">
        <v>200</v>
      </c>
      <c r="D12" s="7">
        <v>159</v>
      </c>
      <c r="E12" s="6" t="s">
        <v>225</v>
      </c>
    </row>
    <row r="13" spans="1:5" x14ac:dyDescent="0.2">
      <c r="A13" s="6" t="s">
        <v>11</v>
      </c>
      <c r="B13" s="6" t="s">
        <v>226</v>
      </c>
      <c r="C13" s="6" t="s">
        <v>206</v>
      </c>
      <c r="D13" s="7">
        <v>42</v>
      </c>
      <c r="E13" s="6" t="s">
        <v>227</v>
      </c>
    </row>
    <row r="14" spans="1:5" x14ac:dyDescent="0.2">
      <c r="A14" s="6" t="s">
        <v>20</v>
      </c>
      <c r="B14" s="6" t="s">
        <v>228</v>
      </c>
      <c r="C14" s="6" t="s">
        <v>206</v>
      </c>
      <c r="D14" s="7">
        <v>185</v>
      </c>
      <c r="E14" s="6" t="s">
        <v>229</v>
      </c>
    </row>
    <row r="15" spans="1:5" x14ac:dyDescent="0.2">
      <c r="A15" s="6" t="s">
        <v>36</v>
      </c>
      <c r="B15" s="6" t="s">
        <v>230</v>
      </c>
      <c r="C15" s="6" t="s">
        <v>200</v>
      </c>
      <c r="D15" s="7">
        <v>229</v>
      </c>
      <c r="E15" s="6" t="s">
        <v>231</v>
      </c>
    </row>
    <row r="16" spans="1:5" x14ac:dyDescent="0.2">
      <c r="A16" s="6" t="s">
        <v>41</v>
      </c>
      <c r="B16" s="6" t="s">
        <v>232</v>
      </c>
      <c r="C16" s="6" t="s">
        <v>218</v>
      </c>
      <c r="D16" s="7">
        <v>20</v>
      </c>
      <c r="E16" s="6" t="s">
        <v>233</v>
      </c>
    </row>
    <row r="17" spans="1:5" x14ac:dyDescent="0.2">
      <c r="A17" s="6" t="s">
        <v>48</v>
      </c>
      <c r="B17" s="6" t="s">
        <v>234</v>
      </c>
      <c r="C17" s="6" t="s">
        <v>206</v>
      </c>
      <c r="D17" s="7">
        <v>199</v>
      </c>
      <c r="E17" s="6" t="s">
        <v>235</v>
      </c>
    </row>
    <row r="18" spans="1:5" x14ac:dyDescent="0.2">
      <c r="A18" s="6" t="s">
        <v>39</v>
      </c>
      <c r="B18" s="6" t="s">
        <v>236</v>
      </c>
      <c r="C18" s="6" t="s">
        <v>200</v>
      </c>
      <c r="D18" s="7">
        <v>69</v>
      </c>
      <c r="E18" s="6" t="s">
        <v>237</v>
      </c>
    </row>
    <row r="19" spans="1:5" x14ac:dyDescent="0.2">
      <c r="A19" s="6" t="s">
        <v>16</v>
      </c>
      <c r="B19" s="6" t="s">
        <v>238</v>
      </c>
      <c r="C19" s="6" t="s">
        <v>203</v>
      </c>
      <c r="D19" s="7">
        <v>89</v>
      </c>
      <c r="E19" s="6" t="s">
        <v>239</v>
      </c>
    </row>
    <row r="20" spans="1:5" x14ac:dyDescent="0.2">
      <c r="A20" s="6" t="s">
        <v>34</v>
      </c>
      <c r="B20" s="6" t="s">
        <v>240</v>
      </c>
      <c r="C20" s="6" t="s">
        <v>211</v>
      </c>
      <c r="D20" s="7">
        <v>40</v>
      </c>
      <c r="E20" s="6" t="s">
        <v>241</v>
      </c>
    </row>
    <row r="21" spans="1:5" x14ac:dyDescent="0.2">
      <c r="A21" s="6" t="s">
        <v>29</v>
      </c>
      <c r="B21" s="6" t="s">
        <v>242</v>
      </c>
      <c r="C21" s="6" t="s">
        <v>200</v>
      </c>
      <c r="D21" s="7">
        <v>99</v>
      </c>
      <c r="E21" s="6" t="s">
        <v>243</v>
      </c>
    </row>
    <row r="22" spans="1:5" x14ac:dyDescent="0.2">
      <c r="A22" s="6" t="s">
        <v>32</v>
      </c>
      <c r="B22" s="6" t="s">
        <v>244</v>
      </c>
      <c r="C22" s="6" t="s">
        <v>206</v>
      </c>
      <c r="D22" s="7">
        <v>34</v>
      </c>
      <c r="E22" s="6" t="s">
        <v>245</v>
      </c>
    </row>
    <row r="23" spans="1:5" x14ac:dyDescent="0.2">
      <c r="A23" s="6" t="s">
        <v>45</v>
      </c>
      <c r="B23" s="6" t="s">
        <v>246</v>
      </c>
      <c r="C23" s="6" t="s">
        <v>211</v>
      </c>
      <c r="D23" s="7">
        <v>60</v>
      </c>
      <c r="E23" s="6" t="s">
        <v>247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97F8E-FF61-40CD-B5D9-D12289170134}">
  <dimension ref="A3:B7"/>
  <sheetViews>
    <sheetView topLeftCell="A2" workbookViewId="0">
      <selection activeCell="A3" sqref="A3"/>
    </sheetView>
  </sheetViews>
  <sheetFormatPr defaultRowHeight="14.25" x14ac:dyDescent="0.2"/>
  <cols>
    <col min="1" max="1" width="13.625" bestFit="1" customWidth="1"/>
    <col min="2" max="2" width="20.25" bestFit="1" customWidth="1"/>
  </cols>
  <sheetData>
    <row r="3" spans="1:2" x14ac:dyDescent="0.2">
      <c r="A3" s="9" t="s">
        <v>314</v>
      </c>
      <c r="B3" t="s">
        <v>316</v>
      </c>
    </row>
    <row r="4" spans="1:2" x14ac:dyDescent="0.2">
      <c r="A4" s="10" t="s">
        <v>14</v>
      </c>
      <c r="B4" s="25">
        <v>6181</v>
      </c>
    </row>
    <row r="5" spans="1:2" x14ac:dyDescent="0.2">
      <c r="A5" s="10" t="s">
        <v>19</v>
      </c>
      <c r="B5" s="25">
        <v>12942</v>
      </c>
    </row>
    <row r="6" spans="1:2" x14ac:dyDescent="0.2">
      <c r="A6" s="10" t="s">
        <v>22</v>
      </c>
      <c r="B6" s="25">
        <v>13948</v>
      </c>
    </row>
    <row r="7" spans="1:2" x14ac:dyDescent="0.2">
      <c r="A7" s="10" t="s">
        <v>315</v>
      </c>
      <c r="B7" s="25">
        <v>33071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BC5E-8C5A-409F-9A74-C8E666A66ECC}">
  <dimension ref="A3:B26"/>
  <sheetViews>
    <sheetView workbookViewId="0">
      <selection activeCell="A3" sqref="A3"/>
    </sheetView>
  </sheetViews>
  <sheetFormatPr defaultRowHeight="14.25" x14ac:dyDescent="0.2"/>
  <cols>
    <col min="1" max="1" width="17.5" bestFit="1" customWidth="1"/>
    <col min="2" max="2" width="20.25" bestFit="1" customWidth="1"/>
  </cols>
  <sheetData>
    <row r="3" spans="1:2" x14ac:dyDescent="0.2">
      <c r="A3" s="9" t="s">
        <v>314</v>
      </c>
      <c r="B3" t="s">
        <v>316</v>
      </c>
    </row>
    <row r="4" spans="1:2" x14ac:dyDescent="0.2">
      <c r="A4" s="10" t="s">
        <v>202</v>
      </c>
      <c r="B4" s="25">
        <v>669</v>
      </c>
    </row>
    <row r="5" spans="1:2" x14ac:dyDescent="0.2">
      <c r="A5" s="10" t="s">
        <v>246</v>
      </c>
      <c r="B5" s="25">
        <v>518</v>
      </c>
    </row>
    <row r="6" spans="1:2" x14ac:dyDescent="0.2">
      <c r="A6" s="10" t="s">
        <v>242</v>
      </c>
      <c r="B6" s="25">
        <v>731</v>
      </c>
    </row>
    <row r="7" spans="1:2" x14ac:dyDescent="0.2">
      <c r="A7" s="10" t="s">
        <v>205</v>
      </c>
      <c r="B7" s="25">
        <v>2496</v>
      </c>
    </row>
    <row r="8" spans="1:2" x14ac:dyDescent="0.2">
      <c r="A8" s="10" t="s">
        <v>234</v>
      </c>
      <c r="B8" s="25">
        <v>5151</v>
      </c>
    </row>
    <row r="9" spans="1:2" x14ac:dyDescent="0.2">
      <c r="A9" s="10" t="s">
        <v>238</v>
      </c>
      <c r="B9" s="25">
        <v>1530</v>
      </c>
    </row>
    <row r="10" spans="1:2" x14ac:dyDescent="0.2">
      <c r="A10" s="10" t="s">
        <v>240</v>
      </c>
      <c r="B10" s="25">
        <v>995</v>
      </c>
    </row>
    <row r="11" spans="1:2" x14ac:dyDescent="0.2">
      <c r="A11" s="10" t="s">
        <v>236</v>
      </c>
      <c r="B11" s="25">
        <v>1392</v>
      </c>
    </row>
    <row r="12" spans="1:2" x14ac:dyDescent="0.2">
      <c r="A12" s="10" t="s">
        <v>224</v>
      </c>
      <c r="B12" s="25">
        <v>172</v>
      </c>
    </row>
    <row r="13" spans="1:2" x14ac:dyDescent="0.2">
      <c r="A13" s="10" t="s">
        <v>222</v>
      </c>
      <c r="B13" s="25">
        <v>581</v>
      </c>
    </row>
    <row r="14" spans="1:2" x14ac:dyDescent="0.2">
      <c r="A14" s="10" t="s">
        <v>226</v>
      </c>
      <c r="B14" s="25">
        <v>320</v>
      </c>
    </row>
    <row r="15" spans="1:2" x14ac:dyDescent="0.2">
      <c r="A15" s="10" t="s">
        <v>208</v>
      </c>
      <c r="B15" s="25">
        <v>1124</v>
      </c>
    </row>
    <row r="16" spans="1:2" x14ac:dyDescent="0.2">
      <c r="A16" s="10" t="s">
        <v>220</v>
      </c>
      <c r="B16" s="25">
        <v>165</v>
      </c>
    </row>
    <row r="17" spans="1:2" x14ac:dyDescent="0.2">
      <c r="A17" s="10" t="s">
        <v>232</v>
      </c>
      <c r="B17" s="25">
        <v>210</v>
      </c>
    </row>
    <row r="18" spans="1:2" x14ac:dyDescent="0.2">
      <c r="A18" s="10" t="s">
        <v>215</v>
      </c>
      <c r="B18" s="25">
        <v>188</v>
      </c>
    </row>
    <row r="19" spans="1:2" x14ac:dyDescent="0.2">
      <c r="A19" s="10" t="s">
        <v>213</v>
      </c>
      <c r="B19" s="25">
        <v>1239</v>
      </c>
    </row>
    <row r="20" spans="1:2" x14ac:dyDescent="0.2">
      <c r="A20" s="10" t="s">
        <v>199</v>
      </c>
      <c r="B20" s="25">
        <v>9644</v>
      </c>
    </row>
    <row r="21" spans="1:2" x14ac:dyDescent="0.2">
      <c r="A21" s="10" t="s">
        <v>230</v>
      </c>
      <c r="B21" s="25">
        <v>2230</v>
      </c>
    </row>
    <row r="22" spans="1:2" x14ac:dyDescent="0.2">
      <c r="A22" s="10" t="s">
        <v>217</v>
      </c>
      <c r="B22" s="25">
        <v>973</v>
      </c>
    </row>
    <row r="23" spans="1:2" x14ac:dyDescent="0.2">
      <c r="A23" s="10" t="s">
        <v>210</v>
      </c>
      <c r="B23" s="25">
        <v>539</v>
      </c>
    </row>
    <row r="24" spans="1:2" x14ac:dyDescent="0.2">
      <c r="A24" s="10" t="s">
        <v>228</v>
      </c>
      <c r="B24" s="25">
        <v>1364</v>
      </c>
    </row>
    <row r="25" spans="1:2" x14ac:dyDescent="0.2">
      <c r="A25" s="10" t="s">
        <v>244</v>
      </c>
      <c r="B25" s="25">
        <v>840</v>
      </c>
    </row>
    <row r="26" spans="1:2" x14ac:dyDescent="0.2">
      <c r="A26" s="10" t="s">
        <v>315</v>
      </c>
      <c r="B26" s="25">
        <v>33071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0742-B17F-4CA1-96EB-9FAC72CA7185}">
  <dimension ref="A3:A4"/>
  <sheetViews>
    <sheetView topLeftCell="A2" workbookViewId="0">
      <selection activeCell="A3" sqref="A3:A4"/>
    </sheetView>
  </sheetViews>
  <sheetFormatPr defaultRowHeight="14.25" x14ac:dyDescent="0.2"/>
  <cols>
    <col min="1" max="1" width="20.25" bestFit="1" customWidth="1"/>
  </cols>
  <sheetData>
    <row r="3" spans="1:1" x14ac:dyDescent="0.2">
      <c r="A3" t="s">
        <v>316</v>
      </c>
    </row>
    <row r="4" spans="1:1" x14ac:dyDescent="0.2">
      <c r="A4" s="25">
        <v>35258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0E80-9CBF-49FF-8E1D-8B6E91053B81}">
  <dimension ref="A3:B16"/>
  <sheetViews>
    <sheetView workbookViewId="0">
      <selection activeCell="B11" sqref="B11"/>
    </sheetView>
  </sheetViews>
  <sheetFormatPr defaultRowHeight="14.25" x14ac:dyDescent="0.2"/>
  <cols>
    <col min="1" max="1" width="13" customWidth="1"/>
    <col min="2" max="2" width="19.75" customWidth="1"/>
  </cols>
  <sheetData>
    <row r="3" spans="1:2" x14ac:dyDescent="0.2">
      <c r="A3" s="9" t="s">
        <v>314</v>
      </c>
      <c r="B3" t="s">
        <v>316</v>
      </c>
    </row>
    <row r="4" spans="1:2" x14ac:dyDescent="0.2">
      <c r="A4" s="10" t="s">
        <v>331</v>
      </c>
      <c r="B4">
        <v>1099</v>
      </c>
    </row>
    <row r="5" spans="1:2" x14ac:dyDescent="0.2">
      <c r="A5" s="10" t="s">
        <v>332</v>
      </c>
      <c r="B5">
        <v>3712</v>
      </c>
    </row>
    <row r="6" spans="1:2" x14ac:dyDescent="0.2">
      <c r="A6" s="10" t="s">
        <v>333</v>
      </c>
      <c r="B6">
        <v>905</v>
      </c>
    </row>
    <row r="7" spans="1:2" x14ac:dyDescent="0.2">
      <c r="A7" s="10" t="s">
        <v>334</v>
      </c>
      <c r="B7">
        <v>2637</v>
      </c>
    </row>
    <row r="8" spans="1:2" x14ac:dyDescent="0.2">
      <c r="A8" s="10" t="s">
        <v>335</v>
      </c>
      <c r="B8">
        <v>4940</v>
      </c>
    </row>
    <row r="9" spans="1:2" x14ac:dyDescent="0.2">
      <c r="A9" s="10" t="s">
        <v>336</v>
      </c>
      <c r="B9">
        <v>2599</v>
      </c>
    </row>
    <row r="10" spans="1:2" x14ac:dyDescent="0.2">
      <c r="A10" s="10" t="s">
        <v>337</v>
      </c>
      <c r="B10">
        <v>3315</v>
      </c>
    </row>
    <row r="11" spans="1:2" x14ac:dyDescent="0.2">
      <c r="A11" s="10" t="s">
        <v>338</v>
      </c>
      <c r="B11">
        <v>782</v>
      </c>
    </row>
    <row r="12" spans="1:2" x14ac:dyDescent="0.2">
      <c r="A12" s="10" t="s">
        <v>339</v>
      </c>
      <c r="B12">
        <v>1570</v>
      </c>
    </row>
    <row r="13" spans="1:2" x14ac:dyDescent="0.2">
      <c r="A13" s="10" t="s">
        <v>340</v>
      </c>
      <c r="B13">
        <v>2920</v>
      </c>
    </row>
    <row r="14" spans="1:2" x14ac:dyDescent="0.2">
      <c r="A14" s="10" t="s">
        <v>341</v>
      </c>
      <c r="B14">
        <v>6312</v>
      </c>
    </row>
    <row r="15" spans="1:2" x14ac:dyDescent="0.2">
      <c r="A15" s="10" t="s">
        <v>342</v>
      </c>
      <c r="B15">
        <v>4467</v>
      </c>
    </row>
    <row r="16" spans="1:2" x14ac:dyDescent="0.2">
      <c r="A16" s="10" t="s">
        <v>315</v>
      </c>
      <c r="B16">
        <v>35258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5A29-A0E1-440E-AA6D-C86D209B78EA}">
  <dimension ref="A3:B9"/>
  <sheetViews>
    <sheetView workbookViewId="0">
      <selection activeCell="A4" sqref="A4:A8"/>
      <pivotSelection pane="bottomRight" showHeader="1" activeRow="3" click="1" r:id="rId1">
        <pivotArea dataOnly="0" labelOnly="1" fieldPosition="0">
          <references count="1">
            <reference field="3" count="0"/>
          </references>
        </pivotArea>
      </pivotSelection>
    </sheetView>
  </sheetViews>
  <sheetFormatPr defaultRowHeight="14.25" x14ac:dyDescent="0.2"/>
  <cols>
    <col min="1" max="1" width="13.625" bestFit="1" customWidth="1"/>
    <col min="2" max="2" width="20.25" bestFit="1" customWidth="1"/>
  </cols>
  <sheetData>
    <row r="3" spans="1:2" x14ac:dyDescent="0.2">
      <c r="A3" s="9" t="s">
        <v>314</v>
      </c>
      <c r="B3" t="s">
        <v>316</v>
      </c>
    </row>
    <row r="4" spans="1:2" x14ac:dyDescent="0.2">
      <c r="A4" s="10" t="s">
        <v>30</v>
      </c>
      <c r="B4" s="25">
        <v>5456</v>
      </c>
    </row>
    <row r="5" spans="1:2" x14ac:dyDescent="0.2">
      <c r="A5" s="10" t="s">
        <v>17</v>
      </c>
      <c r="B5" s="25">
        <v>3635</v>
      </c>
    </row>
    <row r="6" spans="1:2" x14ac:dyDescent="0.2">
      <c r="A6" s="10" t="s">
        <v>12</v>
      </c>
      <c r="B6" s="25">
        <v>10491</v>
      </c>
    </row>
    <row r="7" spans="1:2" x14ac:dyDescent="0.2">
      <c r="A7" s="10" t="s">
        <v>21</v>
      </c>
      <c r="B7" s="25">
        <v>7317</v>
      </c>
    </row>
    <row r="8" spans="1:2" x14ac:dyDescent="0.2">
      <c r="A8" s="10" t="s">
        <v>33</v>
      </c>
      <c r="B8" s="25">
        <v>8359</v>
      </c>
    </row>
    <row r="9" spans="1:2" x14ac:dyDescent="0.2">
      <c r="A9" s="10" t="s">
        <v>315</v>
      </c>
      <c r="B9" s="25">
        <v>35258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4642-0E5A-4B66-93F3-6CB5661FEAA8}">
  <dimension ref="A3:B43"/>
  <sheetViews>
    <sheetView workbookViewId="0">
      <selection activeCell="A3" sqref="A3:B46"/>
    </sheetView>
  </sheetViews>
  <sheetFormatPr defaultRowHeight="14.25" x14ac:dyDescent="0.2"/>
  <cols>
    <col min="1" max="1" width="13.625" bestFit="1" customWidth="1"/>
    <col min="2" max="2" width="15.75" bestFit="1" customWidth="1"/>
  </cols>
  <sheetData>
    <row r="3" spans="1:2" x14ac:dyDescent="0.2">
      <c r="A3" s="9" t="s">
        <v>314</v>
      </c>
      <c r="B3" t="s">
        <v>360</v>
      </c>
    </row>
    <row r="4" spans="1:2" x14ac:dyDescent="0.2">
      <c r="A4" s="10" t="s">
        <v>151</v>
      </c>
      <c r="B4" s="25">
        <v>6</v>
      </c>
    </row>
    <row r="5" spans="1:2" x14ac:dyDescent="0.2">
      <c r="A5" s="10" t="s">
        <v>120</v>
      </c>
      <c r="B5" s="25">
        <v>6</v>
      </c>
    </row>
    <row r="6" spans="1:2" x14ac:dyDescent="0.2">
      <c r="A6" s="10" t="s">
        <v>103</v>
      </c>
      <c r="B6" s="25">
        <v>20</v>
      </c>
    </row>
    <row r="7" spans="1:2" x14ac:dyDescent="0.2">
      <c r="A7" s="10" t="s">
        <v>64</v>
      </c>
      <c r="B7" s="25">
        <v>14</v>
      </c>
    </row>
    <row r="8" spans="1:2" x14ac:dyDescent="0.2">
      <c r="A8" s="10" t="s">
        <v>85</v>
      </c>
      <c r="B8" s="25">
        <v>10</v>
      </c>
    </row>
    <row r="9" spans="1:2" x14ac:dyDescent="0.2">
      <c r="A9" s="10" t="s">
        <v>70</v>
      </c>
      <c r="B9" s="25">
        <v>13</v>
      </c>
    </row>
    <row r="10" spans="1:2" x14ac:dyDescent="0.2">
      <c r="A10" s="10" t="s">
        <v>107</v>
      </c>
      <c r="B10" s="25">
        <v>8</v>
      </c>
    </row>
    <row r="11" spans="1:2" x14ac:dyDescent="0.2">
      <c r="A11" s="10" t="s">
        <v>175</v>
      </c>
      <c r="B11" s="25">
        <v>2</v>
      </c>
    </row>
    <row r="12" spans="1:2" x14ac:dyDescent="0.2">
      <c r="A12" s="10" t="s">
        <v>93</v>
      </c>
      <c r="B12" s="25">
        <v>9</v>
      </c>
    </row>
    <row r="13" spans="1:2" x14ac:dyDescent="0.2">
      <c r="A13" s="10" t="s">
        <v>140</v>
      </c>
      <c r="B13" s="25">
        <v>3</v>
      </c>
    </row>
    <row r="14" spans="1:2" x14ac:dyDescent="0.2">
      <c r="A14" s="10" t="s">
        <v>100</v>
      </c>
      <c r="B14" s="25">
        <v>6</v>
      </c>
    </row>
    <row r="15" spans="1:2" x14ac:dyDescent="0.2">
      <c r="A15" s="10" t="s">
        <v>68</v>
      </c>
      <c r="B15" s="25">
        <v>14</v>
      </c>
    </row>
    <row r="16" spans="1:2" x14ac:dyDescent="0.2">
      <c r="A16" s="10" t="s">
        <v>55</v>
      </c>
      <c r="B16" s="25">
        <v>14</v>
      </c>
    </row>
    <row r="17" spans="1:2" x14ac:dyDescent="0.2">
      <c r="A17" s="10" t="s">
        <v>149</v>
      </c>
      <c r="B17" s="25">
        <v>8</v>
      </c>
    </row>
    <row r="18" spans="1:2" x14ac:dyDescent="0.2">
      <c r="A18" s="10" t="s">
        <v>77</v>
      </c>
      <c r="B18" s="25">
        <v>15</v>
      </c>
    </row>
    <row r="19" spans="1:2" x14ac:dyDescent="0.2">
      <c r="A19" s="10" t="s">
        <v>118</v>
      </c>
      <c r="B19" s="25">
        <v>2</v>
      </c>
    </row>
    <row r="20" spans="1:2" x14ac:dyDescent="0.2">
      <c r="A20" s="10" t="s">
        <v>89</v>
      </c>
      <c r="B20" s="25">
        <v>4</v>
      </c>
    </row>
    <row r="21" spans="1:2" x14ac:dyDescent="0.2">
      <c r="A21" s="10" t="s">
        <v>132</v>
      </c>
      <c r="B21" s="25">
        <v>5</v>
      </c>
    </row>
    <row r="22" spans="1:2" x14ac:dyDescent="0.2">
      <c r="A22" s="10" t="s">
        <v>62</v>
      </c>
      <c r="B22" s="25">
        <v>5</v>
      </c>
    </row>
    <row r="23" spans="1:2" x14ac:dyDescent="0.2">
      <c r="A23" s="10" t="s">
        <v>95</v>
      </c>
      <c r="B23" s="25">
        <v>9</v>
      </c>
    </row>
    <row r="24" spans="1:2" x14ac:dyDescent="0.2">
      <c r="A24" s="10" t="s">
        <v>57</v>
      </c>
      <c r="B24" s="25">
        <v>4</v>
      </c>
    </row>
    <row r="25" spans="1:2" x14ac:dyDescent="0.2">
      <c r="A25" s="10" t="s">
        <v>184</v>
      </c>
      <c r="B25" s="25">
        <v>2</v>
      </c>
    </row>
    <row r="26" spans="1:2" x14ac:dyDescent="0.2">
      <c r="A26" s="10" t="s">
        <v>113</v>
      </c>
      <c r="B26" s="25">
        <v>5</v>
      </c>
    </row>
    <row r="27" spans="1:2" x14ac:dyDescent="0.2">
      <c r="A27" s="10" t="s">
        <v>79</v>
      </c>
      <c r="B27" s="25">
        <v>6</v>
      </c>
    </row>
    <row r="28" spans="1:2" x14ac:dyDescent="0.2">
      <c r="A28" s="10" t="s">
        <v>194</v>
      </c>
      <c r="B28" s="25">
        <v>5</v>
      </c>
    </row>
    <row r="29" spans="1:2" x14ac:dyDescent="0.2">
      <c r="A29" s="10" t="s">
        <v>147</v>
      </c>
      <c r="B29" s="25">
        <v>4</v>
      </c>
    </row>
    <row r="30" spans="1:2" x14ac:dyDescent="0.2">
      <c r="A30" s="10" t="s">
        <v>187</v>
      </c>
      <c r="B30" s="25">
        <v>3</v>
      </c>
    </row>
    <row r="31" spans="1:2" x14ac:dyDescent="0.2">
      <c r="A31" s="10" t="s">
        <v>109</v>
      </c>
      <c r="B31" s="25">
        <v>9</v>
      </c>
    </row>
    <row r="32" spans="1:2" x14ac:dyDescent="0.2">
      <c r="A32" s="10" t="s">
        <v>128</v>
      </c>
      <c r="B32" s="25">
        <v>4</v>
      </c>
    </row>
    <row r="33" spans="1:2" x14ac:dyDescent="0.2">
      <c r="A33" s="10" t="s">
        <v>97</v>
      </c>
      <c r="B33" s="25">
        <v>7</v>
      </c>
    </row>
    <row r="34" spans="1:2" x14ac:dyDescent="0.2">
      <c r="A34" s="10" t="s">
        <v>87</v>
      </c>
      <c r="B34" s="25">
        <v>6</v>
      </c>
    </row>
    <row r="35" spans="1:2" x14ac:dyDescent="0.2">
      <c r="A35" s="10" t="s">
        <v>66</v>
      </c>
      <c r="B35" s="25">
        <v>13</v>
      </c>
    </row>
    <row r="36" spans="1:2" x14ac:dyDescent="0.2">
      <c r="A36" s="10" t="s">
        <v>179</v>
      </c>
      <c r="B36" s="25">
        <v>8</v>
      </c>
    </row>
    <row r="37" spans="1:2" x14ac:dyDescent="0.2">
      <c r="A37" s="10" t="s">
        <v>60</v>
      </c>
      <c r="B37" s="25">
        <v>12</v>
      </c>
    </row>
    <row r="38" spans="1:2" x14ac:dyDescent="0.2">
      <c r="A38" s="10" t="s">
        <v>75</v>
      </c>
      <c r="B38" s="25">
        <v>14</v>
      </c>
    </row>
    <row r="39" spans="1:2" x14ac:dyDescent="0.2">
      <c r="A39" s="10" t="s">
        <v>73</v>
      </c>
      <c r="B39" s="25">
        <v>6</v>
      </c>
    </row>
    <row r="40" spans="1:2" x14ac:dyDescent="0.2">
      <c r="A40" s="10" t="s">
        <v>82</v>
      </c>
      <c r="B40" s="25">
        <v>3</v>
      </c>
    </row>
    <row r="41" spans="1:2" x14ac:dyDescent="0.2">
      <c r="A41" s="10" t="s">
        <v>153</v>
      </c>
      <c r="B41" s="25">
        <v>8</v>
      </c>
    </row>
    <row r="42" spans="1:2" x14ac:dyDescent="0.2">
      <c r="A42" s="10" t="s">
        <v>157</v>
      </c>
      <c r="B42" s="25">
        <v>4</v>
      </c>
    </row>
    <row r="43" spans="1:2" x14ac:dyDescent="0.2">
      <c r="A43" s="10" t="s">
        <v>315</v>
      </c>
      <c r="B43" s="25">
        <v>296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T101"/>
  <sheetViews>
    <sheetView workbookViewId="0">
      <selection activeCell="F7" sqref="A1:S101"/>
    </sheetView>
  </sheetViews>
  <sheetFormatPr defaultRowHeight="14.25" x14ac:dyDescent="0.2"/>
  <cols>
    <col min="1" max="1" width="8.625" customWidth="1"/>
    <col min="2" max="2" width="11.75" customWidth="1"/>
    <col min="3" max="3" width="9.5" customWidth="1"/>
    <col min="4" max="4" width="6.75" customWidth="1"/>
    <col min="5" max="5" width="14.25" customWidth="1"/>
    <col min="6" max="6" width="7.875" customWidth="1"/>
    <col min="7" max="7" width="12" customWidth="1"/>
    <col min="8" max="8" width="15" customWidth="1"/>
    <col min="9" max="9" width="13" customWidth="1"/>
    <col min="10" max="10" width="16" customWidth="1"/>
    <col min="11" max="11" width="10.25" customWidth="1"/>
    <col min="12" max="12" width="12.75" customWidth="1"/>
    <col min="13" max="14" width="11.75" customWidth="1"/>
    <col min="15" max="15" width="15.875" customWidth="1"/>
    <col min="16" max="16" width="21.625" customWidth="1"/>
    <col min="17" max="17" width="15.375" customWidth="1"/>
    <col min="18" max="18" width="20.5" customWidth="1"/>
    <col min="19" max="19" width="17.625" customWidth="1"/>
    <col min="20" max="20" width="16.875" customWidth="1"/>
  </cols>
  <sheetData>
    <row r="1" spans="1:20" x14ac:dyDescent="0.2">
      <c r="A1" s="1" t="s">
        <v>51</v>
      </c>
      <c r="B1" s="1" t="s">
        <v>52</v>
      </c>
      <c r="C1" s="1" t="s">
        <v>0</v>
      </c>
      <c r="D1" s="1" t="s">
        <v>1</v>
      </c>
      <c r="E1" s="1" t="s">
        <v>2</v>
      </c>
      <c r="F1" s="1" t="s">
        <v>3</v>
      </c>
      <c r="G1" s="1" t="s">
        <v>4</v>
      </c>
      <c r="H1" s="1" t="s">
        <v>5</v>
      </c>
      <c r="I1" s="1" t="s">
        <v>6</v>
      </c>
      <c r="J1" s="1" t="s">
        <v>7</v>
      </c>
      <c r="K1" s="2" t="s">
        <v>8</v>
      </c>
      <c r="L1" s="2" t="s">
        <v>9</v>
      </c>
      <c r="M1" s="2" t="s">
        <v>10</v>
      </c>
      <c r="N1" s="3" t="s">
        <v>311</v>
      </c>
      <c r="O1" s="3" t="s">
        <v>312</v>
      </c>
      <c r="P1" s="3" t="s">
        <v>313</v>
      </c>
      <c r="Q1" s="3" t="s">
        <v>249</v>
      </c>
      <c r="R1" s="3" t="s">
        <v>321</v>
      </c>
      <c r="S1" s="3" t="s">
        <v>328</v>
      </c>
      <c r="T1" s="3"/>
    </row>
    <row r="2" spans="1:20" x14ac:dyDescent="0.2">
      <c r="A2" s="1" t="s">
        <v>54</v>
      </c>
      <c r="B2" s="1" t="s">
        <v>55</v>
      </c>
      <c r="C2" s="1" t="s">
        <v>11</v>
      </c>
      <c r="D2" s="1" t="s">
        <v>12</v>
      </c>
      <c r="E2" s="1">
        <v>44</v>
      </c>
      <c r="F2" s="1">
        <v>1</v>
      </c>
      <c r="G2" s="1">
        <v>44</v>
      </c>
      <c r="H2" s="1" t="s">
        <v>13</v>
      </c>
      <c r="I2" s="1" t="s">
        <v>14</v>
      </c>
      <c r="J2" s="1" t="s">
        <v>15</v>
      </c>
      <c r="K2" s="2">
        <v>45291</v>
      </c>
      <c r="L2" s="2"/>
      <c r="M2" s="2">
        <v>45293</v>
      </c>
      <c r="N2" t="str">
        <f>IF(OR(I2="cancelled",M2&lt;&gt;""),"yes","no")</f>
        <v>yes</v>
      </c>
      <c r="O2" t="str">
        <f>_xlfn.XLOOKUP(C2,'Product Master'!$A$1:$A$23,'Product Master'!$C$1:$C$23)</f>
        <v>Home</v>
      </c>
      <c r="P2" t="str">
        <f>IF(L2&lt;&gt;"",L2-K2,"na")</f>
        <v>na</v>
      </c>
      <c r="Q2" t="str">
        <f>IFERROR(_xlfn.XLOOKUP(B2,'Customer Master'!$A$1:$A$50,'Customer Master'!$B$1:$B$50),"not found")</f>
        <v>Zoe Mitchell</v>
      </c>
      <c r="R2" t="str" cm="1">
        <f t="array" ref="R2">_xlfn.IFS(P2="na","na",P2&lt;=2,"fast",P2&gt;2,"slow")</f>
        <v>na</v>
      </c>
      <c r="S2" t="str">
        <f>_xlfn.XLOOKUP(C2,'Product Master'!$A$1:$A$23,'Product Master'!$B$1:$B$23)</f>
        <v>Lamp</v>
      </c>
    </row>
    <row r="3" spans="1:20" x14ac:dyDescent="0.2">
      <c r="A3" s="1" t="s">
        <v>56</v>
      </c>
      <c r="B3" s="1" t="s">
        <v>57</v>
      </c>
      <c r="C3" s="1" t="s">
        <v>16</v>
      </c>
      <c r="D3" s="1" t="s">
        <v>17</v>
      </c>
      <c r="E3" s="1">
        <v>96</v>
      </c>
      <c r="F3" s="1">
        <v>4</v>
      </c>
      <c r="G3" s="1">
        <v>384</v>
      </c>
      <c r="H3" s="1" t="s">
        <v>18</v>
      </c>
      <c r="I3" s="1" t="s">
        <v>19</v>
      </c>
      <c r="J3" s="1" t="s">
        <v>15</v>
      </c>
      <c r="K3" s="2">
        <v>44979</v>
      </c>
      <c r="L3" s="2">
        <v>44981</v>
      </c>
      <c r="M3" s="2"/>
      <c r="N3" t="str">
        <f t="shared" ref="N3:N66" si="0">IF(OR(I3="cancelled",M3&lt;&gt;""),"yes","no")</f>
        <v>no</v>
      </c>
      <c r="O3" t="str">
        <f>_xlfn.XLOOKUP(C3,'Product Master'!$A$1:$A$23,'Product Master'!$C$1:$C$23)</f>
        <v>Toys</v>
      </c>
      <c r="P3">
        <f t="shared" ref="P3:P66" si="1">IF(L3&lt;&gt;"",L3-K3,"na")</f>
        <v>2</v>
      </c>
      <c r="Q3" t="str">
        <f>IFERROR(_xlfn.XLOOKUP(B3,'Customer Master'!$A$1:$A$50,'Customer Master'!$B$1:$B$50),"not found")</f>
        <v>Ava White</v>
      </c>
      <c r="R3" t="str" cm="1">
        <f t="array" ref="R3">_xlfn.IFS(P3="na","na",P3&lt;=2,"fast",P3&gt;2,"slow")</f>
        <v>fast</v>
      </c>
      <c r="S3" t="str">
        <f>_xlfn.XLOOKUP(C3,'Product Master'!$A$1:$A$23,'Product Master'!$B$1:$B$23)</f>
        <v>Doll House</v>
      </c>
    </row>
    <row r="4" spans="1:20" x14ac:dyDescent="0.2">
      <c r="A4" s="1" t="s">
        <v>58</v>
      </c>
      <c r="B4" s="1" t="s">
        <v>55</v>
      </c>
      <c r="C4" s="1" t="s">
        <v>20</v>
      </c>
      <c r="D4" s="1" t="s">
        <v>21</v>
      </c>
      <c r="E4" s="1">
        <v>194</v>
      </c>
      <c r="F4" s="1">
        <v>4</v>
      </c>
      <c r="G4" s="1">
        <v>776</v>
      </c>
      <c r="H4" s="1" t="s">
        <v>18</v>
      </c>
      <c r="I4" s="1" t="s">
        <v>22</v>
      </c>
      <c r="J4" s="1" t="s">
        <v>23</v>
      </c>
      <c r="K4" s="2">
        <v>45210</v>
      </c>
      <c r="L4" s="2"/>
      <c r="M4" s="2"/>
      <c r="N4" t="str">
        <f t="shared" si="0"/>
        <v>no</v>
      </c>
      <c r="O4" t="str">
        <f>_xlfn.XLOOKUP(C4,'Product Master'!$A$1:$A$23,'Product Master'!$C$1:$C$23)</f>
        <v>Home</v>
      </c>
      <c r="P4" t="str">
        <f t="shared" si="1"/>
        <v>na</v>
      </c>
      <c r="Q4" t="str">
        <f>IFERROR(_xlfn.XLOOKUP(B4,'Customer Master'!$A$1:$A$50,'Customer Master'!$B$1:$B$50),"not found")</f>
        <v>Zoe Mitchell</v>
      </c>
      <c r="R4" t="str" cm="1">
        <f t="array" ref="R4">_xlfn.IFS(P4="na","na",P4&lt;=2,"fast",P4&gt;2,"slow")</f>
        <v>na</v>
      </c>
      <c r="S4" t="str">
        <f>_xlfn.XLOOKUP(C4,'Product Master'!$A$1:$A$23,'Product Master'!$B$1:$B$23)</f>
        <v>Vacuum Cleaner</v>
      </c>
    </row>
    <row r="5" spans="1:20" x14ac:dyDescent="0.2">
      <c r="A5" s="1" t="s">
        <v>59</v>
      </c>
      <c r="B5" s="1" t="s">
        <v>60</v>
      </c>
      <c r="C5" s="1" t="s">
        <v>20</v>
      </c>
      <c r="D5" s="1" t="s">
        <v>12</v>
      </c>
      <c r="E5" s="1">
        <v>196</v>
      </c>
      <c r="F5" s="1">
        <v>3</v>
      </c>
      <c r="G5" s="1">
        <v>588</v>
      </c>
      <c r="H5" s="1" t="s">
        <v>24</v>
      </c>
      <c r="I5" s="1" t="s">
        <v>14</v>
      </c>
      <c r="J5" s="1" t="s">
        <v>25</v>
      </c>
      <c r="K5" s="2">
        <v>45051</v>
      </c>
      <c r="L5" s="2"/>
      <c r="M5" s="2">
        <v>45057</v>
      </c>
      <c r="N5" t="str">
        <f t="shared" si="0"/>
        <v>yes</v>
      </c>
      <c r="O5" t="str">
        <f>_xlfn.XLOOKUP(C5,'Product Master'!$A$1:$A$23,'Product Master'!$C$1:$C$23)</f>
        <v>Home</v>
      </c>
      <c r="P5" t="str">
        <f t="shared" si="1"/>
        <v>na</v>
      </c>
      <c r="Q5" t="str">
        <f>IFERROR(_xlfn.XLOOKUP(B5,'Customer Master'!$A$1:$A$50,'Customer Master'!$B$1:$B$50),"not found")</f>
        <v>Grace Ward</v>
      </c>
      <c r="R5" t="str" cm="1">
        <f t="array" ref="R5">_xlfn.IFS(P5="na","na",P5&lt;=2,"fast",P5&gt;2,"slow")</f>
        <v>na</v>
      </c>
      <c r="S5" t="str">
        <f>_xlfn.XLOOKUP(C5,'Product Master'!$A$1:$A$23,'Product Master'!$B$1:$B$23)</f>
        <v>Vacuum Cleaner</v>
      </c>
    </row>
    <row r="6" spans="1:20" x14ac:dyDescent="0.2">
      <c r="A6" s="1" t="s">
        <v>61</v>
      </c>
      <c r="B6" s="1" t="s">
        <v>62</v>
      </c>
      <c r="C6" s="1" t="s">
        <v>26</v>
      </c>
      <c r="D6" s="1" t="s">
        <v>12</v>
      </c>
      <c r="E6" s="1">
        <v>59</v>
      </c>
      <c r="F6" s="1">
        <v>1</v>
      </c>
      <c r="G6" s="1">
        <v>59</v>
      </c>
      <c r="H6" s="1" t="s">
        <v>24</v>
      </c>
      <c r="I6" s="1" t="s">
        <v>19</v>
      </c>
      <c r="J6" s="1" t="s">
        <v>27</v>
      </c>
      <c r="K6" s="2">
        <v>44959</v>
      </c>
      <c r="L6" s="2">
        <v>44962</v>
      </c>
      <c r="M6" s="2"/>
      <c r="N6" t="str">
        <f t="shared" si="0"/>
        <v>no</v>
      </c>
      <c r="O6" t="str">
        <f>_xlfn.XLOOKUP(C6,'Product Master'!$A$1:$A$23,'Product Master'!$C$1:$C$23)</f>
        <v>Fashion</v>
      </c>
      <c r="P6">
        <f t="shared" si="1"/>
        <v>3</v>
      </c>
      <c r="Q6" t="str">
        <f>IFERROR(_xlfn.XLOOKUP(B6,'Customer Master'!$A$1:$A$50,'Customer Master'!$B$1:$B$50),"not found")</f>
        <v>Hazel Brooks</v>
      </c>
      <c r="R6" t="str" cm="1">
        <f t="array" ref="R6">_xlfn.IFS(P6="na","na",P6&lt;=2,"fast",P6&gt;2,"slow")</f>
        <v>slow</v>
      </c>
      <c r="S6" t="str">
        <f>_xlfn.XLOOKUP(C6,'Product Master'!$A$1:$A$23,'Product Master'!$B$1:$B$23)</f>
        <v>Jeans</v>
      </c>
    </row>
    <row r="7" spans="1:20" x14ac:dyDescent="0.2">
      <c r="A7" s="1" t="s">
        <v>63</v>
      </c>
      <c r="B7" s="1" t="s">
        <v>64</v>
      </c>
      <c r="C7" s="1" t="s">
        <v>26</v>
      </c>
      <c r="D7" s="1" t="s">
        <v>12</v>
      </c>
      <c r="E7" s="1">
        <v>58</v>
      </c>
      <c r="F7" s="1">
        <v>4</v>
      </c>
      <c r="G7" s="1">
        <v>232</v>
      </c>
      <c r="H7" s="1" t="s">
        <v>28</v>
      </c>
      <c r="I7" s="1" t="s">
        <v>14</v>
      </c>
      <c r="J7" s="1" t="s">
        <v>15</v>
      </c>
      <c r="K7" s="2">
        <v>45231</v>
      </c>
      <c r="L7" s="2"/>
      <c r="M7" s="2">
        <v>45232</v>
      </c>
      <c r="N7" t="str">
        <f t="shared" si="0"/>
        <v>yes</v>
      </c>
      <c r="O7" t="str">
        <f>_xlfn.XLOOKUP(C7,'Product Master'!$A$1:$A$23,'Product Master'!$C$1:$C$23)</f>
        <v>Fashion</v>
      </c>
      <c r="P7" t="str">
        <f t="shared" si="1"/>
        <v>na</v>
      </c>
      <c r="Q7" t="str">
        <f>IFERROR(_xlfn.XLOOKUP(B7,'Customer Master'!$A$1:$A$50,'Customer Master'!$B$1:$B$50),"not found")</f>
        <v>Jackson Allen</v>
      </c>
      <c r="R7" t="str" cm="1">
        <f t="array" ref="R7">_xlfn.IFS(P7="na","na",P7&lt;=2,"fast",P7&gt;2,"slow")</f>
        <v>na</v>
      </c>
      <c r="S7" t="str">
        <f>_xlfn.XLOOKUP(C7,'Product Master'!$A$1:$A$23,'Product Master'!$B$1:$B$23)</f>
        <v>Jeans</v>
      </c>
    </row>
    <row r="8" spans="1:20" x14ac:dyDescent="0.2">
      <c r="A8" s="1" t="s">
        <v>65</v>
      </c>
      <c r="B8" s="1" t="s">
        <v>66</v>
      </c>
      <c r="C8" s="1" t="s">
        <v>29</v>
      </c>
      <c r="D8" s="1" t="s">
        <v>30</v>
      </c>
      <c r="E8" s="1">
        <v>105</v>
      </c>
      <c r="F8" s="1">
        <v>3</v>
      </c>
      <c r="G8" s="1">
        <v>315</v>
      </c>
      <c r="H8" s="1" t="s">
        <v>31</v>
      </c>
      <c r="I8" s="1" t="s">
        <v>14</v>
      </c>
      <c r="J8" s="1" t="s">
        <v>15</v>
      </c>
      <c r="K8" s="2">
        <v>45152</v>
      </c>
      <c r="L8" s="2"/>
      <c r="M8" s="2">
        <v>45156</v>
      </c>
      <c r="N8" t="str">
        <f t="shared" si="0"/>
        <v>yes</v>
      </c>
      <c r="O8" t="str">
        <f>_xlfn.XLOOKUP(C8,'Product Master'!$A$1:$A$23,'Product Master'!$C$1:$C$23)</f>
        <v>Electronics</v>
      </c>
      <c r="P8" t="str">
        <f t="shared" si="1"/>
        <v>na</v>
      </c>
      <c r="Q8" t="str">
        <f>IFERROR(_xlfn.XLOOKUP(B8,'Customer Master'!$A$1:$A$50,'Customer Master'!$B$1:$B$50),"not found")</f>
        <v>Noah Wilson</v>
      </c>
      <c r="R8" t="str" cm="1">
        <f t="array" ref="R8">_xlfn.IFS(P8="na","na",P8&lt;=2,"fast",P8&gt;2,"slow")</f>
        <v>na</v>
      </c>
      <c r="S8" t="str">
        <f>_xlfn.XLOOKUP(C8,'Product Master'!$A$1:$A$23,'Product Master'!$B$1:$B$23)</f>
        <v>Bluetooth Speaker</v>
      </c>
    </row>
    <row r="9" spans="1:20" x14ac:dyDescent="0.2">
      <c r="A9" s="1" t="s">
        <v>67</v>
      </c>
      <c r="B9" s="1" t="s">
        <v>68</v>
      </c>
      <c r="C9" s="1" t="s">
        <v>32</v>
      </c>
      <c r="D9" s="1" t="s">
        <v>33</v>
      </c>
      <c r="E9" s="1">
        <v>37</v>
      </c>
      <c r="F9" s="1">
        <v>5</v>
      </c>
      <c r="G9" s="1">
        <v>185</v>
      </c>
      <c r="H9" s="1" t="s">
        <v>24</v>
      </c>
      <c r="I9" s="1" t="s">
        <v>14</v>
      </c>
      <c r="J9" s="1" t="s">
        <v>15</v>
      </c>
      <c r="K9" s="2">
        <v>45017</v>
      </c>
      <c r="L9" s="2"/>
      <c r="M9" s="2">
        <v>45022</v>
      </c>
      <c r="N9" t="str">
        <f t="shared" si="0"/>
        <v>yes</v>
      </c>
      <c r="O9" t="str">
        <f>_xlfn.XLOOKUP(C9,'Product Master'!$A$1:$A$23,'Product Master'!$C$1:$C$23)</f>
        <v>Home</v>
      </c>
      <c r="P9" t="str">
        <f t="shared" si="1"/>
        <v>na</v>
      </c>
      <c r="Q9" t="str">
        <f>IFERROR(_xlfn.XLOOKUP(B9,'Customer Master'!$A$1:$A$50,'Customer Master'!$B$1:$B$50),"not found")</f>
        <v>Ava Robinson</v>
      </c>
      <c r="R9" t="str" cm="1">
        <f t="array" ref="R9">_xlfn.IFS(P9="na","na",P9&lt;=2,"fast",P9&gt;2,"slow")</f>
        <v>na</v>
      </c>
      <c r="S9" t="str">
        <f>_xlfn.XLOOKUP(C9,'Product Master'!$A$1:$A$23,'Product Master'!$B$1:$B$23)</f>
        <v>Wall Clock</v>
      </c>
    </row>
    <row r="10" spans="1:20" x14ac:dyDescent="0.2">
      <c r="A10" s="1" t="s">
        <v>69</v>
      </c>
      <c r="B10" s="1" t="s">
        <v>70</v>
      </c>
      <c r="C10" s="1" t="s">
        <v>34</v>
      </c>
      <c r="D10" s="1" t="s">
        <v>30</v>
      </c>
      <c r="E10" s="1">
        <v>44</v>
      </c>
      <c r="F10" s="1">
        <v>2</v>
      </c>
      <c r="G10" s="1">
        <v>88</v>
      </c>
      <c r="H10" s="1" t="s">
        <v>18</v>
      </c>
      <c r="I10" s="1" t="s">
        <v>22</v>
      </c>
      <c r="J10" s="1" t="s">
        <v>27</v>
      </c>
      <c r="K10" s="2">
        <v>45128</v>
      </c>
      <c r="L10" s="2"/>
      <c r="M10" s="2"/>
      <c r="N10" t="str">
        <f t="shared" si="0"/>
        <v>no</v>
      </c>
      <c r="O10" t="str">
        <f>_xlfn.XLOOKUP(C10,'Product Master'!$A$1:$A$23,'Product Master'!$C$1:$C$23)</f>
        <v>Fashion</v>
      </c>
      <c r="P10" t="str">
        <f t="shared" si="1"/>
        <v>na</v>
      </c>
      <c r="Q10" t="str">
        <f>IFERROR(_xlfn.XLOOKUP(B10,'Customer Master'!$A$1:$A$50,'Customer Master'!$B$1:$B$50),"not found")</f>
        <v>Olivia Martinez</v>
      </c>
      <c r="R10" t="str" cm="1">
        <f t="array" ref="R10">_xlfn.IFS(P10="na","na",P10&lt;=2,"fast",P10&gt;2,"slow")</f>
        <v>na</v>
      </c>
      <c r="S10" t="str">
        <f>_xlfn.XLOOKUP(C10,'Product Master'!$A$1:$A$23,'Product Master'!$B$1:$B$23)</f>
        <v>Formal Shirt</v>
      </c>
    </row>
    <row r="11" spans="1:20" x14ac:dyDescent="0.2">
      <c r="A11" s="1" t="s">
        <v>71</v>
      </c>
      <c r="B11" s="1" t="s">
        <v>68</v>
      </c>
      <c r="C11" s="1" t="s">
        <v>35</v>
      </c>
      <c r="D11" s="1" t="s">
        <v>21</v>
      </c>
      <c r="E11" s="1">
        <v>141</v>
      </c>
      <c r="F11" s="1">
        <v>4</v>
      </c>
      <c r="G11" s="1">
        <v>564</v>
      </c>
      <c r="H11" s="1" t="s">
        <v>31</v>
      </c>
      <c r="I11" s="1" t="s">
        <v>22</v>
      </c>
      <c r="J11" s="1" t="s">
        <v>15</v>
      </c>
      <c r="K11" s="2">
        <v>45289</v>
      </c>
      <c r="L11" s="2"/>
      <c r="M11" s="2"/>
      <c r="N11" t="str">
        <f t="shared" si="0"/>
        <v>no</v>
      </c>
      <c r="O11" t="str">
        <f>_xlfn.XLOOKUP(C11,'Product Master'!$A$1:$A$23,'Product Master'!$C$1:$C$23)</f>
        <v>Home</v>
      </c>
      <c r="P11" t="str">
        <f t="shared" si="1"/>
        <v>na</v>
      </c>
      <c r="Q11" t="str">
        <f>IFERROR(_xlfn.XLOOKUP(B11,'Customer Master'!$A$1:$A$50,'Customer Master'!$B$1:$B$50),"not found")</f>
        <v>Ava Robinson</v>
      </c>
      <c r="R11" t="str" cm="1">
        <f t="array" ref="R11">_xlfn.IFS(P11="na","na",P11&lt;=2,"fast",P11&gt;2,"slow")</f>
        <v>na</v>
      </c>
      <c r="S11" t="str">
        <f>_xlfn.XLOOKUP(C11,'Product Master'!$A$1:$A$23,'Product Master'!$B$1:$B$23)</f>
        <v>Cookware Set</v>
      </c>
    </row>
    <row r="12" spans="1:20" x14ac:dyDescent="0.2">
      <c r="A12" s="1" t="s">
        <v>72</v>
      </c>
      <c r="B12" s="1" t="s">
        <v>73</v>
      </c>
      <c r="C12" s="1" t="s">
        <v>36</v>
      </c>
      <c r="D12" s="1" t="s">
        <v>21</v>
      </c>
      <c r="E12" s="1">
        <v>249</v>
      </c>
      <c r="F12" s="1">
        <v>1</v>
      </c>
      <c r="G12" s="1">
        <v>249</v>
      </c>
      <c r="H12" s="1" t="s">
        <v>28</v>
      </c>
      <c r="I12" s="1" t="s">
        <v>14</v>
      </c>
      <c r="J12" s="1" t="s">
        <v>23</v>
      </c>
      <c r="K12" s="2">
        <v>45050</v>
      </c>
      <c r="L12" s="2"/>
      <c r="M12" s="2">
        <v>45054</v>
      </c>
      <c r="N12" t="str">
        <f t="shared" si="0"/>
        <v>yes</v>
      </c>
      <c r="O12" t="str">
        <f>_xlfn.XLOOKUP(C12,'Product Master'!$A$1:$A$23,'Product Master'!$C$1:$C$23)</f>
        <v>Electronics</v>
      </c>
      <c r="P12" t="str">
        <f t="shared" si="1"/>
        <v>na</v>
      </c>
      <c r="Q12" t="str">
        <f>IFERROR(_xlfn.XLOOKUP(B12,'Customer Master'!$A$1:$A$50,'Customer Master'!$B$1:$B$50),"not found")</f>
        <v>Emily Johnson</v>
      </c>
      <c r="R12" t="str" cm="1">
        <f t="array" ref="R12">_xlfn.IFS(P12="na","na",P12&lt;=2,"fast",P12&gt;2,"slow")</f>
        <v>na</v>
      </c>
      <c r="S12" t="str">
        <f>_xlfn.XLOOKUP(C12,'Product Master'!$A$1:$A$23,'Product Master'!$B$1:$B$23)</f>
        <v>Smartwatch</v>
      </c>
    </row>
    <row r="13" spans="1:20" x14ac:dyDescent="0.2">
      <c r="A13" s="1" t="s">
        <v>74</v>
      </c>
      <c r="B13" s="1" t="s">
        <v>75</v>
      </c>
      <c r="C13" s="1" t="s">
        <v>36</v>
      </c>
      <c r="D13" s="1" t="s">
        <v>30</v>
      </c>
      <c r="E13" s="1">
        <v>247</v>
      </c>
      <c r="F13" s="1">
        <v>3</v>
      </c>
      <c r="G13" s="1">
        <v>741</v>
      </c>
      <c r="H13" s="1" t="s">
        <v>28</v>
      </c>
      <c r="I13" s="1" t="s">
        <v>22</v>
      </c>
      <c r="J13" s="1" t="s">
        <v>37</v>
      </c>
      <c r="K13" s="2">
        <v>45132</v>
      </c>
      <c r="L13" s="2"/>
      <c r="M13" s="2"/>
      <c r="N13" t="str">
        <f t="shared" si="0"/>
        <v>no</v>
      </c>
      <c r="O13" t="str">
        <f>_xlfn.XLOOKUP(C13,'Product Master'!$A$1:$A$23,'Product Master'!$C$1:$C$23)</f>
        <v>Electronics</v>
      </c>
      <c r="P13" t="str">
        <f t="shared" si="1"/>
        <v>na</v>
      </c>
      <c r="Q13" t="str">
        <f>IFERROR(_xlfn.XLOOKUP(B13,'Customer Master'!$A$1:$A$50,'Customer Master'!$B$1:$B$50),"not found")</f>
        <v>Emily Johnson</v>
      </c>
      <c r="R13" t="str" cm="1">
        <f t="array" ref="R13">_xlfn.IFS(P13="na","na",P13&lt;=2,"fast",P13&gt;2,"slow")</f>
        <v>na</v>
      </c>
      <c r="S13" t="str">
        <f>_xlfn.XLOOKUP(C13,'Product Master'!$A$1:$A$23,'Product Master'!$B$1:$B$23)</f>
        <v>Smartwatch</v>
      </c>
    </row>
    <row r="14" spans="1:20" x14ac:dyDescent="0.2">
      <c r="A14" s="1" t="s">
        <v>76</v>
      </c>
      <c r="B14" s="1" t="s">
        <v>77</v>
      </c>
      <c r="C14" s="1" t="s">
        <v>38</v>
      </c>
      <c r="D14" s="1" t="s">
        <v>30</v>
      </c>
      <c r="E14" s="1">
        <v>96</v>
      </c>
      <c r="F14" s="1">
        <v>1</v>
      </c>
      <c r="G14" s="1">
        <v>96</v>
      </c>
      <c r="H14" s="1" t="s">
        <v>13</v>
      </c>
      <c r="I14" s="1" t="s">
        <v>14</v>
      </c>
      <c r="J14" s="1" t="s">
        <v>27</v>
      </c>
      <c r="K14" s="2">
        <v>44982</v>
      </c>
      <c r="L14" s="2"/>
      <c r="M14" s="2">
        <v>44985</v>
      </c>
      <c r="N14" t="str">
        <f t="shared" si="0"/>
        <v>yes</v>
      </c>
      <c r="O14" t="str">
        <f>_xlfn.XLOOKUP(C14,'Product Master'!$A$1:$A$23,'Product Master'!$C$1:$C$23)</f>
        <v>Fashion</v>
      </c>
      <c r="P14" t="str">
        <f t="shared" si="1"/>
        <v>na</v>
      </c>
      <c r="Q14" t="str">
        <f>IFERROR(_xlfn.XLOOKUP(B14,'Customer Master'!$A$1:$A$50,'Customer Master'!$B$1:$B$50),"not found")</f>
        <v>Charlotte Reed</v>
      </c>
      <c r="R14" t="str" cm="1">
        <f t="array" ref="R14">_xlfn.IFS(P14="na","na",P14&lt;=2,"fast",P14&gt;2,"slow")</f>
        <v>na</v>
      </c>
      <c r="S14" t="str">
        <f>_xlfn.XLOOKUP(C14,'Product Master'!$A$1:$A$23,'Product Master'!$B$1:$B$23)</f>
        <v>Shoes</v>
      </c>
    </row>
    <row r="15" spans="1:20" x14ac:dyDescent="0.2">
      <c r="A15" s="1" t="s">
        <v>78</v>
      </c>
      <c r="B15" s="1" t="s">
        <v>79</v>
      </c>
      <c r="C15" s="1" t="s">
        <v>39</v>
      </c>
      <c r="D15" s="1" t="s">
        <v>33</v>
      </c>
      <c r="E15" s="1">
        <v>74</v>
      </c>
      <c r="F15" s="1">
        <v>5</v>
      </c>
      <c r="G15" s="1">
        <v>370</v>
      </c>
      <c r="H15" s="1" t="s">
        <v>13</v>
      </c>
      <c r="I15" s="1" t="s">
        <v>14</v>
      </c>
      <c r="J15" s="1" t="s">
        <v>27</v>
      </c>
      <c r="K15" s="2">
        <v>44981</v>
      </c>
      <c r="L15" s="2"/>
      <c r="M15" s="2">
        <v>44982</v>
      </c>
      <c r="N15" t="str">
        <f t="shared" si="0"/>
        <v>yes</v>
      </c>
      <c r="O15" t="str">
        <f>_xlfn.XLOOKUP(C15,'Product Master'!$A$1:$A$23,'Product Master'!$C$1:$C$23)</f>
        <v>Electronics</v>
      </c>
      <c r="P15" t="str">
        <f t="shared" si="1"/>
        <v>na</v>
      </c>
      <c r="Q15" t="str">
        <f>IFERROR(_xlfn.XLOOKUP(B15,'Customer Master'!$A$1:$A$50,'Customer Master'!$B$1:$B$50),"not found")</f>
        <v>Hazel Rivera</v>
      </c>
      <c r="R15" t="str" cm="1">
        <f t="array" ref="R15">_xlfn.IFS(P15="na","na",P15&lt;=2,"fast",P15&gt;2,"slow")</f>
        <v>na</v>
      </c>
      <c r="S15" t="str">
        <f>_xlfn.XLOOKUP(C15,'Product Master'!$A$1:$A$23,'Product Master'!$B$1:$B$23)</f>
        <v>Gaming Mouse</v>
      </c>
    </row>
    <row r="16" spans="1:20" x14ac:dyDescent="0.2">
      <c r="A16" s="1" t="s">
        <v>80</v>
      </c>
      <c r="B16" s="1" t="s">
        <v>79</v>
      </c>
      <c r="C16" s="1" t="s">
        <v>40</v>
      </c>
      <c r="D16" s="1" t="s">
        <v>21</v>
      </c>
      <c r="E16" s="1">
        <v>27</v>
      </c>
      <c r="F16" s="1">
        <v>1</v>
      </c>
      <c r="G16" s="1">
        <v>27</v>
      </c>
      <c r="H16" s="1" t="s">
        <v>18</v>
      </c>
      <c r="I16" s="1" t="s">
        <v>14</v>
      </c>
      <c r="J16" s="1" t="s">
        <v>27</v>
      </c>
      <c r="K16" s="2">
        <v>45164</v>
      </c>
      <c r="L16" s="2"/>
      <c r="M16" s="2">
        <v>45171</v>
      </c>
      <c r="N16" t="str">
        <f t="shared" si="0"/>
        <v>yes</v>
      </c>
      <c r="O16" t="str">
        <f>_xlfn.XLOOKUP(C16,'Product Master'!$A$1:$A$23,'Product Master'!$C$1:$C$23)</f>
        <v>Fashion</v>
      </c>
      <c r="P16" t="str">
        <f t="shared" si="1"/>
        <v>na</v>
      </c>
      <c r="Q16" t="str">
        <f>IFERROR(_xlfn.XLOOKUP(B16,'Customer Master'!$A$1:$A$50,'Customer Master'!$B$1:$B$50),"not found")</f>
        <v>Hazel Rivera</v>
      </c>
      <c r="R16" t="str" cm="1">
        <f t="array" ref="R16">_xlfn.IFS(P16="na","na",P16&lt;=2,"fast",P16&gt;2,"slow")</f>
        <v>na</v>
      </c>
      <c r="S16" t="str">
        <f>_xlfn.XLOOKUP(C16,'Product Master'!$A$1:$A$23,'Product Master'!$B$1:$B$23)</f>
        <v>T-Shirt</v>
      </c>
    </row>
    <row r="17" spans="1:19" x14ac:dyDescent="0.2">
      <c r="A17" s="1" t="s">
        <v>81</v>
      </c>
      <c r="B17" s="1" t="s">
        <v>82</v>
      </c>
      <c r="C17" s="1" t="s">
        <v>40</v>
      </c>
      <c r="D17" s="1" t="s">
        <v>21</v>
      </c>
      <c r="E17" s="1">
        <v>27</v>
      </c>
      <c r="F17" s="1">
        <v>3</v>
      </c>
      <c r="G17" s="1">
        <v>81</v>
      </c>
      <c r="H17" s="1" t="s">
        <v>31</v>
      </c>
      <c r="I17" s="1" t="s">
        <v>22</v>
      </c>
      <c r="J17" s="1" t="s">
        <v>27</v>
      </c>
      <c r="K17" s="2">
        <v>44970</v>
      </c>
      <c r="L17" s="2"/>
      <c r="M17" s="2"/>
      <c r="N17" t="str">
        <f t="shared" si="0"/>
        <v>no</v>
      </c>
      <c r="O17" t="str">
        <f>_xlfn.XLOOKUP(C17,'Product Master'!$A$1:$A$23,'Product Master'!$C$1:$C$23)</f>
        <v>Fashion</v>
      </c>
      <c r="P17" t="str">
        <f t="shared" si="1"/>
        <v>na</v>
      </c>
      <c r="Q17" t="str">
        <f>IFERROR(_xlfn.XLOOKUP(B17,'Customer Master'!$A$1:$A$50,'Customer Master'!$B$1:$B$50),"not found")</f>
        <v>Scarlett Murphy</v>
      </c>
      <c r="R17" t="str" cm="1">
        <f t="array" ref="R17">_xlfn.IFS(P17="na","na",P17&lt;=2,"fast",P17&gt;2,"slow")</f>
        <v>na</v>
      </c>
      <c r="S17" t="str">
        <f>_xlfn.XLOOKUP(C17,'Product Master'!$A$1:$A$23,'Product Master'!$B$1:$B$23)</f>
        <v>T-Shirt</v>
      </c>
    </row>
    <row r="18" spans="1:19" x14ac:dyDescent="0.2">
      <c r="A18" s="1" t="s">
        <v>83</v>
      </c>
      <c r="B18" s="1" t="s">
        <v>75</v>
      </c>
      <c r="C18" s="1" t="s">
        <v>41</v>
      </c>
      <c r="D18" s="1" t="s">
        <v>17</v>
      </c>
      <c r="E18" s="1">
        <v>21</v>
      </c>
      <c r="F18" s="1">
        <v>3</v>
      </c>
      <c r="G18" s="1">
        <v>63</v>
      </c>
      <c r="H18" s="1" t="s">
        <v>18</v>
      </c>
      <c r="I18" s="1" t="s">
        <v>19</v>
      </c>
      <c r="J18" s="1" t="s">
        <v>15</v>
      </c>
      <c r="K18" s="2">
        <v>45105</v>
      </c>
      <c r="L18" s="2">
        <v>45108</v>
      </c>
      <c r="M18" s="2"/>
      <c r="N18" t="str">
        <f t="shared" si="0"/>
        <v>no</v>
      </c>
      <c r="O18" t="str">
        <f>_xlfn.XLOOKUP(C18,'Product Master'!$A$1:$A$23,'Product Master'!$C$1:$C$23)</f>
        <v>Books</v>
      </c>
      <c r="P18">
        <f t="shared" si="1"/>
        <v>3</v>
      </c>
      <c r="Q18" t="str">
        <f>IFERROR(_xlfn.XLOOKUP(B18,'Customer Master'!$A$1:$A$50,'Customer Master'!$B$1:$B$50),"not found")</f>
        <v>Emily Johnson</v>
      </c>
      <c r="R18" t="str" cm="1">
        <f t="array" ref="R18">_xlfn.IFS(P18="na","na",P18&lt;=2,"fast",P18&gt;2,"slow")</f>
        <v>slow</v>
      </c>
      <c r="S18" t="str">
        <f>_xlfn.XLOOKUP(C18,'Product Master'!$A$1:$A$23,'Product Master'!$B$1:$B$23)</f>
        <v>Novel</v>
      </c>
    </row>
    <row r="19" spans="1:19" x14ac:dyDescent="0.2">
      <c r="A19" s="1" t="s">
        <v>84</v>
      </c>
      <c r="B19" s="1" t="s">
        <v>85</v>
      </c>
      <c r="C19" s="1" t="s">
        <v>42</v>
      </c>
      <c r="D19" s="1" t="s">
        <v>33</v>
      </c>
      <c r="E19" s="1">
        <v>70</v>
      </c>
      <c r="F19" s="1">
        <v>5</v>
      </c>
      <c r="G19" s="1">
        <v>350</v>
      </c>
      <c r="H19" s="1" t="s">
        <v>24</v>
      </c>
      <c r="I19" s="1" t="s">
        <v>22</v>
      </c>
      <c r="J19" s="1" t="s">
        <v>27</v>
      </c>
      <c r="K19" s="2">
        <v>45258</v>
      </c>
      <c r="L19" s="2"/>
      <c r="M19" s="2"/>
      <c r="N19" t="str">
        <f t="shared" si="0"/>
        <v>no</v>
      </c>
      <c r="O19" t="str">
        <f>_xlfn.XLOOKUP(C19,'Product Master'!$A$1:$A$23,'Product Master'!$C$1:$C$23)</f>
        <v>Books</v>
      </c>
      <c r="P19" t="str">
        <f t="shared" si="1"/>
        <v>na</v>
      </c>
      <c r="Q19" t="str">
        <f>IFERROR(_xlfn.XLOOKUP(B19,'Customer Master'!$A$1:$A$50,'Customer Master'!$B$1:$B$50),"not found")</f>
        <v>Mason Hall</v>
      </c>
      <c r="R19" t="str" cm="1">
        <f t="array" ref="R19">_xlfn.IFS(P19="na","na",P19&lt;=2,"fast",P19&gt;2,"slow")</f>
        <v>na</v>
      </c>
      <c r="S19" t="str">
        <f>_xlfn.XLOOKUP(C19,'Product Master'!$A$1:$A$23,'Product Master'!$B$1:$B$23)</f>
        <v>Textbook</v>
      </c>
    </row>
    <row r="20" spans="1:19" x14ac:dyDescent="0.2">
      <c r="A20" s="1" t="s">
        <v>86</v>
      </c>
      <c r="B20" s="1" t="s">
        <v>87</v>
      </c>
      <c r="C20" s="1" t="s">
        <v>38</v>
      </c>
      <c r="D20" s="1" t="s">
        <v>21</v>
      </c>
      <c r="E20" s="1">
        <v>94</v>
      </c>
      <c r="F20" s="1">
        <v>4</v>
      </c>
      <c r="G20" s="1">
        <v>376</v>
      </c>
      <c r="H20" s="1" t="s">
        <v>18</v>
      </c>
      <c r="I20" s="1" t="s">
        <v>22</v>
      </c>
      <c r="J20" s="1" t="s">
        <v>23</v>
      </c>
      <c r="K20" s="2">
        <v>45163</v>
      </c>
      <c r="L20" s="2"/>
      <c r="M20" s="2"/>
      <c r="N20" t="str">
        <f t="shared" si="0"/>
        <v>no</v>
      </c>
      <c r="O20" t="str">
        <f>_xlfn.XLOOKUP(C20,'Product Master'!$A$1:$A$23,'Product Master'!$C$1:$C$23)</f>
        <v>Fashion</v>
      </c>
      <c r="P20" t="str">
        <f t="shared" si="1"/>
        <v>na</v>
      </c>
      <c r="Q20" t="str">
        <f>IFERROR(_xlfn.XLOOKUP(B20,'Customer Master'!$A$1:$A$50,'Customer Master'!$B$1:$B$50),"not found")</f>
        <v>Jacob Price</v>
      </c>
      <c r="R20" t="str" cm="1">
        <f t="array" ref="R20">_xlfn.IFS(P20="na","na",P20&lt;=2,"fast",P20&gt;2,"slow")</f>
        <v>na</v>
      </c>
      <c r="S20" t="str">
        <f>_xlfn.XLOOKUP(C20,'Product Master'!$A$1:$A$23,'Product Master'!$B$1:$B$23)</f>
        <v>Shoes</v>
      </c>
    </row>
    <row r="21" spans="1:19" x14ac:dyDescent="0.2">
      <c r="A21" s="1" t="s">
        <v>88</v>
      </c>
      <c r="B21" s="1" t="s">
        <v>89</v>
      </c>
      <c r="C21" s="1" t="s">
        <v>43</v>
      </c>
      <c r="D21" s="1" t="s">
        <v>12</v>
      </c>
      <c r="E21" s="1">
        <v>813</v>
      </c>
      <c r="F21" s="1">
        <v>2</v>
      </c>
      <c r="G21" s="1">
        <v>1626</v>
      </c>
      <c r="H21" s="1" t="s">
        <v>18</v>
      </c>
      <c r="I21" s="1" t="s">
        <v>22</v>
      </c>
      <c r="J21" s="1" t="s">
        <v>37</v>
      </c>
      <c r="K21" s="2">
        <v>45028</v>
      </c>
      <c r="L21" s="2"/>
      <c r="M21" s="2"/>
      <c r="N21" t="str">
        <f t="shared" si="0"/>
        <v>no</v>
      </c>
      <c r="O21" t="str">
        <f>_xlfn.XLOOKUP(C21,'Product Master'!$A$1:$A$23,'Product Master'!$C$1:$C$23)</f>
        <v>Electronics</v>
      </c>
      <c r="P21" t="str">
        <f t="shared" si="1"/>
        <v>na</v>
      </c>
      <c r="Q21" t="str">
        <f>IFERROR(_xlfn.XLOOKUP(B21,'Customer Master'!$A$1:$A$50,'Customer Master'!$B$1:$B$50),"not found")</f>
        <v>Emma King</v>
      </c>
      <c r="R21" t="str" cm="1">
        <f t="array" ref="R21">_xlfn.IFS(P21="na","na",P21&lt;=2,"fast",P21&gt;2,"slow")</f>
        <v>na</v>
      </c>
      <c r="S21" t="str">
        <f>_xlfn.XLOOKUP(C21,'Product Master'!$A$1:$A$23,'Product Master'!$B$1:$B$23)</f>
        <v>Smartphone</v>
      </c>
    </row>
    <row r="22" spans="1:19" x14ac:dyDescent="0.2">
      <c r="A22" s="1" t="s">
        <v>90</v>
      </c>
      <c r="B22" s="1" t="s">
        <v>70</v>
      </c>
      <c r="C22" s="1" t="s">
        <v>41</v>
      </c>
      <c r="D22" s="1" t="s">
        <v>30</v>
      </c>
      <c r="E22" s="1">
        <v>21</v>
      </c>
      <c r="F22" s="1">
        <v>4</v>
      </c>
      <c r="G22" s="1">
        <v>84</v>
      </c>
      <c r="H22" s="1" t="s">
        <v>24</v>
      </c>
      <c r="I22" s="1" t="s">
        <v>22</v>
      </c>
      <c r="J22" s="1" t="s">
        <v>27</v>
      </c>
      <c r="K22" s="2">
        <v>45201</v>
      </c>
      <c r="L22" s="2"/>
      <c r="M22" s="2"/>
      <c r="N22" t="str">
        <f t="shared" si="0"/>
        <v>no</v>
      </c>
      <c r="O22" t="str">
        <f>_xlfn.XLOOKUP(C22,'Product Master'!$A$1:$A$23,'Product Master'!$C$1:$C$23)</f>
        <v>Books</v>
      </c>
      <c r="P22" t="str">
        <f t="shared" si="1"/>
        <v>na</v>
      </c>
      <c r="Q22" t="str">
        <f>IFERROR(_xlfn.XLOOKUP(B22,'Customer Master'!$A$1:$A$50,'Customer Master'!$B$1:$B$50),"not found")</f>
        <v>Olivia Martinez</v>
      </c>
      <c r="R22" t="str" cm="1">
        <f t="array" ref="R22">_xlfn.IFS(P22="na","na",P22&lt;=2,"fast",P22&gt;2,"slow")</f>
        <v>na</v>
      </c>
      <c r="S22" t="str">
        <f>_xlfn.XLOOKUP(C22,'Product Master'!$A$1:$A$23,'Product Master'!$B$1:$B$23)</f>
        <v>Novel</v>
      </c>
    </row>
    <row r="23" spans="1:19" x14ac:dyDescent="0.2">
      <c r="A23" s="1" t="s">
        <v>91</v>
      </c>
      <c r="B23" s="1" t="s">
        <v>77</v>
      </c>
      <c r="C23" s="1" t="s">
        <v>11</v>
      </c>
      <c r="D23" s="1" t="s">
        <v>33</v>
      </c>
      <c r="E23" s="1">
        <v>46</v>
      </c>
      <c r="F23" s="1">
        <v>5</v>
      </c>
      <c r="G23" s="1">
        <v>230</v>
      </c>
      <c r="H23" s="1" t="s">
        <v>24</v>
      </c>
      <c r="I23" s="1" t="s">
        <v>22</v>
      </c>
      <c r="J23" s="1" t="s">
        <v>23</v>
      </c>
      <c r="K23" s="2">
        <v>45239</v>
      </c>
      <c r="L23" s="2"/>
      <c r="M23" s="2"/>
      <c r="N23" t="str">
        <f t="shared" si="0"/>
        <v>no</v>
      </c>
      <c r="O23" t="str">
        <f>_xlfn.XLOOKUP(C23,'Product Master'!$A$1:$A$23,'Product Master'!$C$1:$C$23)</f>
        <v>Home</v>
      </c>
      <c r="P23" t="str">
        <f t="shared" si="1"/>
        <v>na</v>
      </c>
      <c r="Q23" t="str">
        <f>IFERROR(_xlfn.XLOOKUP(B23,'Customer Master'!$A$1:$A$50,'Customer Master'!$B$1:$B$50),"not found")</f>
        <v>Charlotte Reed</v>
      </c>
      <c r="R23" t="str" cm="1">
        <f t="array" ref="R23">_xlfn.IFS(P23="na","na",P23&lt;=2,"fast",P23&gt;2,"slow")</f>
        <v>na</v>
      </c>
      <c r="S23" t="str">
        <f>_xlfn.XLOOKUP(C23,'Product Master'!$A$1:$A$23,'Product Master'!$B$1:$B$23)</f>
        <v>Lamp</v>
      </c>
    </row>
    <row r="24" spans="1:19" x14ac:dyDescent="0.2">
      <c r="A24" s="1" t="s">
        <v>92</v>
      </c>
      <c r="B24" s="1" t="s">
        <v>93</v>
      </c>
      <c r="C24" s="1" t="s">
        <v>26</v>
      </c>
      <c r="D24" s="1" t="s">
        <v>33</v>
      </c>
      <c r="E24" s="1">
        <v>58</v>
      </c>
      <c r="F24" s="1">
        <v>3</v>
      </c>
      <c r="G24" s="1">
        <v>174</v>
      </c>
      <c r="H24" s="1" t="s">
        <v>28</v>
      </c>
      <c r="I24" s="1" t="s">
        <v>14</v>
      </c>
      <c r="J24" s="1" t="s">
        <v>27</v>
      </c>
      <c r="K24" s="2">
        <v>44970</v>
      </c>
      <c r="L24" s="2"/>
      <c r="M24" s="2">
        <v>44971</v>
      </c>
      <c r="N24" t="str">
        <f t="shared" si="0"/>
        <v>yes</v>
      </c>
      <c r="O24" t="str">
        <f>_xlfn.XLOOKUP(C24,'Product Master'!$A$1:$A$23,'Product Master'!$C$1:$C$23)</f>
        <v>Fashion</v>
      </c>
      <c r="P24" t="str">
        <f t="shared" si="1"/>
        <v>na</v>
      </c>
      <c r="Q24" t="str">
        <f>IFERROR(_xlfn.XLOOKUP(B24,'Customer Master'!$A$1:$A$50,'Customer Master'!$B$1:$B$50),"not found")</f>
        <v>Elijah Lewis</v>
      </c>
      <c r="R24" t="str" cm="1">
        <f t="array" ref="R24">_xlfn.IFS(P24="na","na",P24&lt;=2,"fast",P24&gt;2,"slow")</f>
        <v>na</v>
      </c>
      <c r="S24" t="str">
        <f>_xlfn.XLOOKUP(C24,'Product Master'!$A$1:$A$23,'Product Master'!$B$1:$B$23)</f>
        <v>Jeans</v>
      </c>
    </row>
    <row r="25" spans="1:19" x14ac:dyDescent="0.2">
      <c r="A25" s="1" t="s">
        <v>94</v>
      </c>
      <c r="B25" s="1" t="s">
        <v>95</v>
      </c>
      <c r="C25" s="1" t="s">
        <v>38</v>
      </c>
      <c r="D25" s="1" t="s">
        <v>33</v>
      </c>
      <c r="E25" s="1">
        <v>96</v>
      </c>
      <c r="F25" s="1">
        <v>5</v>
      </c>
      <c r="G25" s="1">
        <v>480</v>
      </c>
      <c r="H25" s="1" t="s">
        <v>28</v>
      </c>
      <c r="I25" s="1" t="s">
        <v>19</v>
      </c>
      <c r="J25" s="1" t="s">
        <v>27</v>
      </c>
      <c r="K25" s="2">
        <v>45232</v>
      </c>
      <c r="L25" s="2">
        <v>45235</v>
      </c>
      <c r="M25" s="2"/>
      <c r="N25" t="str">
        <f t="shared" si="0"/>
        <v>no</v>
      </c>
      <c r="O25" t="str">
        <f>_xlfn.XLOOKUP(C25,'Product Master'!$A$1:$A$23,'Product Master'!$C$1:$C$23)</f>
        <v>Fashion</v>
      </c>
      <c r="P25">
        <f t="shared" si="1"/>
        <v>3</v>
      </c>
      <c r="Q25" t="str">
        <f>IFERROR(_xlfn.XLOOKUP(B25,'Customer Master'!$A$1:$A$50,'Customer Master'!$B$1:$B$50),"not found")</f>
        <v>Lily Bennett</v>
      </c>
      <c r="R25" t="str" cm="1">
        <f t="array" ref="R25">_xlfn.IFS(P25="na","na",P25&lt;=2,"fast",P25&gt;2,"slow")</f>
        <v>slow</v>
      </c>
      <c r="S25" t="str">
        <f>_xlfn.XLOOKUP(C25,'Product Master'!$A$1:$A$23,'Product Master'!$B$1:$B$23)</f>
        <v>Shoes</v>
      </c>
    </row>
    <row r="26" spans="1:19" x14ac:dyDescent="0.2">
      <c r="A26" s="1" t="s">
        <v>96</v>
      </c>
      <c r="B26" s="1" t="s">
        <v>97</v>
      </c>
      <c r="C26" s="1" t="s">
        <v>44</v>
      </c>
      <c r="D26" s="1" t="s">
        <v>21</v>
      </c>
      <c r="E26" s="1">
        <v>43</v>
      </c>
      <c r="F26" s="1">
        <v>1</v>
      </c>
      <c r="G26" s="1">
        <v>43</v>
      </c>
      <c r="H26" s="1" t="s">
        <v>31</v>
      </c>
      <c r="I26" s="1" t="s">
        <v>19</v>
      </c>
      <c r="J26" s="1" t="s">
        <v>27</v>
      </c>
      <c r="K26" s="2">
        <v>45074</v>
      </c>
      <c r="L26" s="2">
        <v>45076</v>
      </c>
      <c r="M26" s="2"/>
      <c r="N26" t="str">
        <f t="shared" si="0"/>
        <v>no</v>
      </c>
      <c r="O26" t="str">
        <f>_xlfn.XLOOKUP(C26,'Product Master'!$A$1:$A$23,'Product Master'!$C$1:$C$23)</f>
        <v>Toys</v>
      </c>
      <c r="P26">
        <f t="shared" si="1"/>
        <v>2</v>
      </c>
      <c r="Q26" t="str">
        <f>IFERROR(_xlfn.XLOOKUP(B26,'Customer Master'!$A$1:$A$50,'Customer Master'!$B$1:$B$50),"not found")</f>
        <v>Benjamin Clark</v>
      </c>
      <c r="R26" t="str" cm="1">
        <f t="array" ref="R26">_xlfn.IFS(P26="na","na",P26&lt;=2,"fast",P26&gt;2,"slow")</f>
        <v>fast</v>
      </c>
      <c r="S26" t="str">
        <f>_xlfn.XLOOKUP(C26,'Product Master'!$A$1:$A$23,'Product Master'!$B$1:$B$23)</f>
        <v>Action Figure</v>
      </c>
    </row>
    <row r="27" spans="1:19" x14ac:dyDescent="0.2">
      <c r="A27" s="1" t="s">
        <v>98</v>
      </c>
      <c r="B27" s="1" t="s">
        <v>62</v>
      </c>
      <c r="C27" s="1" t="s">
        <v>45</v>
      </c>
      <c r="D27" s="1" t="s">
        <v>21</v>
      </c>
      <c r="E27" s="1">
        <v>64</v>
      </c>
      <c r="F27" s="1">
        <v>4</v>
      </c>
      <c r="G27" s="1">
        <v>256</v>
      </c>
      <c r="H27" s="1" t="s">
        <v>31</v>
      </c>
      <c r="I27" s="1" t="s">
        <v>19</v>
      </c>
      <c r="J27" s="1" t="s">
        <v>23</v>
      </c>
      <c r="K27" s="2">
        <v>45214</v>
      </c>
      <c r="L27" s="2">
        <v>45220</v>
      </c>
      <c r="M27" s="2"/>
      <c r="N27" t="str">
        <f t="shared" si="0"/>
        <v>no</v>
      </c>
      <c r="O27" t="str">
        <f>_xlfn.XLOOKUP(C27,'Product Master'!$A$1:$A$23,'Product Master'!$C$1:$C$23)</f>
        <v>Fashion</v>
      </c>
      <c r="P27">
        <f t="shared" si="1"/>
        <v>6</v>
      </c>
      <c r="Q27" t="str">
        <f>IFERROR(_xlfn.XLOOKUP(B27,'Customer Master'!$A$1:$A$50,'Customer Master'!$B$1:$B$50),"not found")</f>
        <v>Hazel Brooks</v>
      </c>
      <c r="R27" t="str" cm="1">
        <f t="array" ref="R27">_xlfn.IFS(P27="na","na",P27&lt;=2,"fast",P27&gt;2,"slow")</f>
        <v>slow</v>
      </c>
      <c r="S27" t="str">
        <f>_xlfn.XLOOKUP(C27,'Product Master'!$A$1:$A$23,'Product Master'!$B$1:$B$23)</f>
        <v>Backpack</v>
      </c>
    </row>
    <row r="28" spans="1:19" x14ac:dyDescent="0.2">
      <c r="A28" s="1" t="s">
        <v>99</v>
      </c>
      <c r="B28" s="1" t="s">
        <v>100</v>
      </c>
      <c r="C28" s="1" t="s">
        <v>42</v>
      </c>
      <c r="D28" s="1" t="s">
        <v>21</v>
      </c>
      <c r="E28" s="1">
        <v>70</v>
      </c>
      <c r="F28" s="1">
        <v>2</v>
      </c>
      <c r="G28" s="1">
        <v>140</v>
      </c>
      <c r="H28" s="1" t="s">
        <v>28</v>
      </c>
      <c r="I28" s="1" t="s">
        <v>22</v>
      </c>
      <c r="J28" s="1" t="s">
        <v>27</v>
      </c>
      <c r="K28" s="2">
        <v>44942</v>
      </c>
      <c r="L28" s="2"/>
      <c r="M28" s="2"/>
      <c r="N28" t="str">
        <f t="shared" si="0"/>
        <v>no</v>
      </c>
      <c r="O28" t="str">
        <f>_xlfn.XLOOKUP(C28,'Product Master'!$A$1:$A$23,'Product Master'!$C$1:$C$23)</f>
        <v>Books</v>
      </c>
      <c r="P28" t="str">
        <f t="shared" si="1"/>
        <v>na</v>
      </c>
      <c r="Q28" t="str">
        <f>IFERROR(_xlfn.XLOOKUP(B28,'Customer Master'!$A$1:$A$50,'Customer Master'!$B$1:$B$50),"not found")</f>
        <v>Grace Scott</v>
      </c>
      <c r="R28" t="str" cm="1">
        <f t="array" ref="R28">_xlfn.IFS(P28="na","na",P28&lt;=2,"fast",P28&gt;2,"slow")</f>
        <v>na</v>
      </c>
      <c r="S28" t="str">
        <f>_xlfn.XLOOKUP(C28,'Product Master'!$A$1:$A$23,'Product Master'!$B$1:$B$23)</f>
        <v>Textbook</v>
      </c>
    </row>
    <row r="29" spans="1:19" x14ac:dyDescent="0.2">
      <c r="A29" s="1" t="s">
        <v>101</v>
      </c>
      <c r="B29" s="1" t="s">
        <v>100</v>
      </c>
      <c r="C29" s="1" t="s">
        <v>16</v>
      </c>
      <c r="D29" s="1" t="s">
        <v>30</v>
      </c>
      <c r="E29" s="1">
        <v>97</v>
      </c>
      <c r="F29" s="1">
        <v>3</v>
      </c>
      <c r="G29" s="1">
        <v>291</v>
      </c>
      <c r="H29" s="1" t="s">
        <v>18</v>
      </c>
      <c r="I29" s="1" t="s">
        <v>22</v>
      </c>
      <c r="J29" s="1" t="s">
        <v>27</v>
      </c>
      <c r="K29" s="2">
        <v>45208</v>
      </c>
      <c r="L29" s="2"/>
      <c r="M29" s="2"/>
      <c r="N29" t="str">
        <f t="shared" si="0"/>
        <v>no</v>
      </c>
      <c r="O29" t="str">
        <f>_xlfn.XLOOKUP(C29,'Product Master'!$A$1:$A$23,'Product Master'!$C$1:$C$23)</f>
        <v>Toys</v>
      </c>
      <c r="P29" t="str">
        <f t="shared" si="1"/>
        <v>na</v>
      </c>
      <c r="Q29" t="str">
        <f>IFERROR(_xlfn.XLOOKUP(B29,'Customer Master'!$A$1:$A$50,'Customer Master'!$B$1:$B$50),"not found")</f>
        <v>Grace Scott</v>
      </c>
      <c r="R29" t="str" cm="1">
        <f t="array" ref="R29">_xlfn.IFS(P29="na","na",P29&lt;=2,"fast",P29&gt;2,"slow")</f>
        <v>na</v>
      </c>
      <c r="S29" t="str">
        <f>_xlfn.XLOOKUP(C29,'Product Master'!$A$1:$A$23,'Product Master'!$B$1:$B$23)</f>
        <v>Doll House</v>
      </c>
    </row>
    <row r="30" spans="1:19" x14ac:dyDescent="0.2">
      <c r="A30" s="1"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f>_xlfn.XLOOKUP(C30,'Product Master'!$A$1:$A$23,'Product Master'!$C$1:$C$23)</f>
        <v>Home</v>
      </c>
      <c r="P30" t="str">
        <f t="shared" si="1"/>
        <v>na</v>
      </c>
      <c r="Q30" t="str">
        <f>IFERROR(_xlfn.XLOOKUP(B30,'Customer Master'!$A$1:$A$50,'Customer Master'!$B$1:$B$50),"not found")</f>
        <v>Liam Walker</v>
      </c>
      <c r="R30" t="str" cm="1">
        <f t="array" ref="R30">_xlfn.IFS(P30="na","na",P30&lt;=2,"fast",P30&gt;2,"slow")</f>
        <v>na</v>
      </c>
      <c r="S30" t="str">
        <f>_xlfn.XLOOKUP(C30,'Product Master'!$A$1:$A$23,'Product Master'!$B$1:$B$23)</f>
        <v>Wall Clock</v>
      </c>
    </row>
    <row r="31" spans="1:19" x14ac:dyDescent="0.2">
      <c r="A31" s="1" t="s">
        <v>104</v>
      </c>
      <c r="B31" s="1" t="s">
        <v>105</v>
      </c>
      <c r="C31" s="1" t="s">
        <v>42</v>
      </c>
      <c r="D31" s="1" t="s">
        <v>12</v>
      </c>
      <c r="E31" s="1">
        <v>69</v>
      </c>
      <c r="F31" s="1">
        <v>5</v>
      </c>
      <c r="G31" s="1">
        <v>345</v>
      </c>
      <c r="H31" s="1" t="s">
        <v>28</v>
      </c>
      <c r="I31" s="1" t="s">
        <v>22</v>
      </c>
      <c r="J31" s="1" t="s">
        <v>27</v>
      </c>
      <c r="K31" s="2">
        <v>44971</v>
      </c>
      <c r="L31" s="2"/>
      <c r="M31" s="2"/>
      <c r="N31" t="str">
        <f t="shared" si="0"/>
        <v>no</v>
      </c>
      <c r="O31" t="str">
        <f>_xlfn.XLOOKUP(C31,'Product Master'!$A$1:$A$23,'Product Master'!$C$1:$C$23)</f>
        <v>Books</v>
      </c>
      <c r="P31" t="str">
        <f t="shared" si="1"/>
        <v>na</v>
      </c>
      <c r="Q31" t="str">
        <f>IFERROR(_xlfn.XLOOKUP(B31,'Customer Master'!$A$1:$A$50,'Customer Master'!$B$1:$B$50),"not found")</f>
        <v>Harper Young</v>
      </c>
      <c r="R31" t="str" cm="1">
        <f t="array" ref="R31">_xlfn.IFS(P31="na","na",P31&lt;=2,"fast",P31&gt;2,"slow")</f>
        <v>na</v>
      </c>
      <c r="S31" t="str">
        <f>_xlfn.XLOOKUP(C31,'Product Master'!$A$1:$A$23,'Product Master'!$B$1:$B$23)</f>
        <v>Textbook</v>
      </c>
    </row>
    <row r="32" spans="1:19" x14ac:dyDescent="0.2">
      <c r="A32" s="1" t="s">
        <v>106</v>
      </c>
      <c r="B32" s="1" t="s">
        <v>107</v>
      </c>
      <c r="C32" s="1" t="s">
        <v>44</v>
      </c>
      <c r="D32" s="1" t="s">
        <v>12</v>
      </c>
      <c r="E32" s="1">
        <v>42</v>
      </c>
      <c r="F32" s="1">
        <v>5</v>
      </c>
      <c r="G32" s="1">
        <v>210</v>
      </c>
      <c r="H32" s="1" t="s">
        <v>28</v>
      </c>
      <c r="I32" s="1" t="s">
        <v>22</v>
      </c>
      <c r="J32" s="1" t="s">
        <v>25</v>
      </c>
      <c r="K32" s="2">
        <v>45011</v>
      </c>
      <c r="L32" s="2"/>
      <c r="M32" s="2"/>
      <c r="N32" t="str">
        <f t="shared" si="0"/>
        <v>no</v>
      </c>
      <c r="O32" t="str">
        <f>_xlfn.XLOOKUP(C32,'Product Master'!$A$1:$A$23,'Product Master'!$C$1:$C$23)</f>
        <v>Toys</v>
      </c>
      <c r="P32" t="str">
        <f t="shared" si="1"/>
        <v>na</v>
      </c>
      <c r="Q32" t="str">
        <f>IFERROR(_xlfn.XLOOKUP(B32,'Customer Master'!$A$1:$A$50,'Customer Master'!$B$1:$B$50),"not found")</f>
        <v>Harper Young</v>
      </c>
      <c r="R32" t="str" cm="1">
        <f t="array" ref="R32">_xlfn.IFS(P32="na","na",P32&lt;=2,"fast",P32&gt;2,"slow")</f>
        <v>na</v>
      </c>
      <c r="S32" t="str">
        <f>_xlfn.XLOOKUP(C32,'Product Master'!$A$1:$A$23,'Product Master'!$B$1:$B$23)</f>
        <v>Action Figure</v>
      </c>
    </row>
    <row r="33" spans="1:19" x14ac:dyDescent="0.2">
      <c r="A33" s="1" t="s">
        <v>108</v>
      </c>
      <c r="B33" s="1" t="s">
        <v>109</v>
      </c>
      <c r="C33" s="1" t="s">
        <v>46</v>
      </c>
      <c r="D33" s="1" t="s">
        <v>17</v>
      </c>
      <c r="E33" s="1">
        <v>11</v>
      </c>
      <c r="F33" s="1">
        <v>5</v>
      </c>
      <c r="G33" s="1">
        <v>55</v>
      </c>
      <c r="H33" s="1" t="s">
        <v>31</v>
      </c>
      <c r="I33" s="1" t="s">
        <v>14</v>
      </c>
      <c r="J33" s="1" t="s">
        <v>37</v>
      </c>
      <c r="K33" s="2">
        <v>45092</v>
      </c>
      <c r="L33" s="2"/>
      <c r="M33" s="2">
        <v>45099</v>
      </c>
      <c r="N33" t="str">
        <f t="shared" si="0"/>
        <v>yes</v>
      </c>
      <c r="O33" t="str">
        <f>_xlfn.XLOOKUP(C33,'Product Master'!$A$1:$A$23,'Product Master'!$C$1:$C$23)</f>
        <v>Books</v>
      </c>
      <c r="P33" t="str">
        <f t="shared" si="1"/>
        <v>na</v>
      </c>
      <c r="Q33" t="str">
        <f>IFERROR(_xlfn.XLOOKUP(B33,'Customer Master'!$A$1:$A$50,'Customer Master'!$B$1:$B$50),"not found")</f>
        <v>Emily Johnson</v>
      </c>
      <c r="R33" t="str" cm="1">
        <f t="array" ref="R33">_xlfn.IFS(P33="na","na",P33&lt;=2,"fast",P33&gt;2,"slow")</f>
        <v>na</v>
      </c>
      <c r="S33" t="str">
        <f>_xlfn.XLOOKUP(C33,'Product Master'!$A$1:$A$23,'Product Master'!$B$1:$B$23)</f>
        <v>Magazine</v>
      </c>
    </row>
    <row r="34" spans="1:19" x14ac:dyDescent="0.2">
      <c r="A34" s="1" t="s">
        <v>110</v>
      </c>
      <c r="B34" s="1" t="s">
        <v>93</v>
      </c>
      <c r="C34" s="1" t="s">
        <v>40</v>
      </c>
      <c r="D34" s="1" t="s">
        <v>21</v>
      </c>
      <c r="E34" s="1">
        <v>27</v>
      </c>
      <c r="F34" s="1">
        <v>2</v>
      </c>
      <c r="G34" s="1">
        <v>54</v>
      </c>
      <c r="H34" s="1" t="s">
        <v>13</v>
      </c>
      <c r="I34" s="1" t="s">
        <v>19</v>
      </c>
      <c r="J34" s="1" t="s">
        <v>23</v>
      </c>
      <c r="K34" s="2">
        <v>45068</v>
      </c>
      <c r="L34" s="2">
        <v>45069</v>
      </c>
      <c r="M34" s="2"/>
      <c r="N34" t="str">
        <f t="shared" si="0"/>
        <v>no</v>
      </c>
      <c r="O34" t="str">
        <f>_xlfn.XLOOKUP(C34,'Product Master'!$A$1:$A$23,'Product Master'!$C$1:$C$23)</f>
        <v>Fashion</v>
      </c>
      <c r="P34">
        <f t="shared" si="1"/>
        <v>1</v>
      </c>
      <c r="Q34" t="str">
        <f>IFERROR(_xlfn.XLOOKUP(B34,'Customer Master'!$A$1:$A$50,'Customer Master'!$B$1:$B$50),"not found")</f>
        <v>Elijah Lewis</v>
      </c>
      <c r="R34" t="str" cm="1">
        <f t="array" ref="R34">_xlfn.IFS(P34="na","na",P34&lt;=2,"fast",P34&gt;2,"slow")</f>
        <v>fast</v>
      </c>
      <c r="S34" t="str">
        <f>_xlfn.XLOOKUP(C34,'Product Master'!$A$1:$A$23,'Product Master'!$B$1:$B$23)</f>
        <v>T-Shirt</v>
      </c>
    </row>
    <row r="35" spans="1:19" x14ac:dyDescent="0.2">
      <c r="A35" s="1" t="s">
        <v>111</v>
      </c>
      <c r="B35" s="1" t="s">
        <v>89</v>
      </c>
      <c r="C35" s="1" t="s">
        <v>41</v>
      </c>
      <c r="D35" s="1" t="s">
        <v>21</v>
      </c>
      <c r="E35" s="1">
        <v>21</v>
      </c>
      <c r="F35" s="1">
        <v>1</v>
      </c>
      <c r="G35" s="1">
        <v>21</v>
      </c>
      <c r="H35" s="1" t="s">
        <v>28</v>
      </c>
      <c r="I35" s="1" t="s">
        <v>22</v>
      </c>
      <c r="J35" s="1" t="s">
        <v>15</v>
      </c>
      <c r="K35" s="2">
        <v>45250</v>
      </c>
      <c r="L35" s="2"/>
      <c r="M35" s="2"/>
      <c r="N35" t="str">
        <f t="shared" si="0"/>
        <v>no</v>
      </c>
      <c r="O35" t="str">
        <f>_xlfn.XLOOKUP(C35,'Product Master'!$A$1:$A$23,'Product Master'!$C$1:$C$23)</f>
        <v>Books</v>
      </c>
      <c r="P35" t="str">
        <f t="shared" si="1"/>
        <v>na</v>
      </c>
      <c r="Q35" t="str">
        <f>IFERROR(_xlfn.XLOOKUP(B35,'Customer Master'!$A$1:$A$50,'Customer Master'!$B$1:$B$50),"not found")</f>
        <v>Emma King</v>
      </c>
      <c r="R35" t="str" cm="1">
        <f t="array" ref="R35">_xlfn.IFS(P35="na","na",P35&lt;=2,"fast",P35&gt;2,"slow")</f>
        <v>na</v>
      </c>
      <c r="S35" t="str">
        <f>_xlfn.XLOOKUP(C35,'Product Master'!$A$1:$A$23,'Product Master'!$B$1:$B$23)</f>
        <v>Novel</v>
      </c>
    </row>
    <row r="36" spans="1:19" x14ac:dyDescent="0.2">
      <c r="A36" s="1" t="s">
        <v>112</v>
      </c>
      <c r="B36" s="1" t="s">
        <v>113</v>
      </c>
      <c r="C36" s="1" t="s">
        <v>47</v>
      </c>
      <c r="D36" s="1" t="s">
        <v>21</v>
      </c>
      <c r="E36" s="1">
        <v>172</v>
      </c>
      <c r="F36" s="1">
        <v>1</v>
      </c>
      <c r="G36" s="1">
        <v>172</v>
      </c>
      <c r="H36" s="1" t="s">
        <v>24</v>
      </c>
      <c r="I36" s="1" t="s">
        <v>19</v>
      </c>
      <c r="J36" s="1" t="s">
        <v>23</v>
      </c>
      <c r="K36" s="2">
        <v>45282</v>
      </c>
      <c r="L36" s="2">
        <v>45286</v>
      </c>
      <c r="M36" s="2"/>
      <c r="N36" t="str">
        <f t="shared" si="0"/>
        <v>no</v>
      </c>
      <c r="O36" t="str">
        <f>_xlfn.XLOOKUP(C36,'Product Master'!$A$1:$A$23,'Product Master'!$C$1:$C$23)</f>
        <v>Electronics</v>
      </c>
      <c r="P36">
        <f t="shared" si="1"/>
        <v>4</v>
      </c>
      <c r="Q36" t="str">
        <f>IFERROR(_xlfn.XLOOKUP(B36,'Customer Master'!$A$1:$A$50,'Customer Master'!$B$1:$B$50),"not found")</f>
        <v>Luke Gray</v>
      </c>
      <c r="R36" t="str" cm="1">
        <f t="array" ref="R36">_xlfn.IFS(P36="na","na",P36&lt;=2,"fast",P36&gt;2,"slow")</f>
        <v>slow</v>
      </c>
      <c r="S36" t="str">
        <f>_xlfn.XLOOKUP(C36,'Product Master'!$A$1:$A$23,'Product Master'!$B$1:$B$23)</f>
        <v>Headphones</v>
      </c>
    </row>
    <row r="37" spans="1:19" x14ac:dyDescent="0.2">
      <c r="A37" s="1" t="s">
        <v>114</v>
      </c>
      <c r="B37" s="1" t="s">
        <v>107</v>
      </c>
      <c r="C37" s="1" t="s">
        <v>48</v>
      </c>
      <c r="D37" s="1" t="s">
        <v>12</v>
      </c>
      <c r="E37" s="1">
        <v>212</v>
      </c>
      <c r="F37" s="1">
        <v>3</v>
      </c>
      <c r="G37" s="1">
        <v>636</v>
      </c>
      <c r="H37" s="1" t="s">
        <v>28</v>
      </c>
      <c r="I37" s="1" t="s">
        <v>22</v>
      </c>
      <c r="J37" s="1" t="s">
        <v>25</v>
      </c>
      <c r="K37" s="2">
        <v>45130</v>
      </c>
      <c r="L37" s="2"/>
      <c r="M37" s="2"/>
      <c r="N37" t="str">
        <f t="shared" si="0"/>
        <v>no</v>
      </c>
      <c r="O37" t="str">
        <f>_xlfn.XLOOKUP(C37,'Product Master'!$A$1:$A$23,'Product Master'!$C$1:$C$23)</f>
        <v>Home</v>
      </c>
      <c r="P37" t="str">
        <f t="shared" si="1"/>
        <v>na</v>
      </c>
      <c r="Q37" t="str">
        <f>IFERROR(_xlfn.XLOOKUP(B37,'Customer Master'!$A$1:$A$50,'Customer Master'!$B$1:$B$50),"not found")</f>
        <v>Harper Young</v>
      </c>
      <c r="R37" t="str" cm="1">
        <f t="array" ref="R37">_xlfn.IFS(P37="na","na",P37&lt;=2,"fast",P37&gt;2,"slow")</f>
        <v>na</v>
      </c>
      <c r="S37" t="str">
        <f>_xlfn.XLOOKUP(C37,'Product Master'!$A$1:$A$23,'Product Master'!$B$1:$B$23)</f>
        <v>Cookware Set Pro</v>
      </c>
    </row>
    <row r="38" spans="1:19" x14ac:dyDescent="0.2">
      <c r="A38" s="1" t="s">
        <v>115</v>
      </c>
      <c r="B38" s="1" t="s">
        <v>60</v>
      </c>
      <c r="C38" s="1" t="s">
        <v>44</v>
      </c>
      <c r="D38" s="1" t="s">
        <v>17</v>
      </c>
      <c r="E38" s="1">
        <v>41</v>
      </c>
      <c r="F38" s="1">
        <v>4</v>
      </c>
      <c r="G38" s="1">
        <v>164</v>
      </c>
      <c r="H38" s="1" t="s">
        <v>18</v>
      </c>
      <c r="I38" s="1" t="s">
        <v>19</v>
      </c>
      <c r="J38" s="1" t="s">
        <v>27</v>
      </c>
      <c r="K38" s="2">
        <v>45216</v>
      </c>
      <c r="L38" s="2">
        <v>45221</v>
      </c>
      <c r="M38" s="2"/>
      <c r="N38" t="str">
        <f t="shared" si="0"/>
        <v>no</v>
      </c>
      <c r="O38" t="str">
        <f>_xlfn.XLOOKUP(C38,'Product Master'!$A$1:$A$23,'Product Master'!$C$1:$C$23)</f>
        <v>Toys</v>
      </c>
      <c r="P38">
        <f t="shared" si="1"/>
        <v>5</v>
      </c>
      <c r="Q38" t="str">
        <f>IFERROR(_xlfn.XLOOKUP(B38,'Customer Master'!$A$1:$A$50,'Customer Master'!$B$1:$B$50),"not found")</f>
        <v>Grace Ward</v>
      </c>
      <c r="R38" t="str" cm="1">
        <f t="array" ref="R38">_xlfn.IFS(P38="na","na",P38&lt;=2,"fast",P38&gt;2,"slow")</f>
        <v>slow</v>
      </c>
      <c r="S38" t="str">
        <f>_xlfn.XLOOKUP(C38,'Product Master'!$A$1:$A$23,'Product Master'!$B$1:$B$23)</f>
        <v>Action Figure</v>
      </c>
    </row>
    <row r="39" spans="1:19" x14ac:dyDescent="0.2">
      <c r="A39" s="1" t="s">
        <v>116</v>
      </c>
      <c r="B39" s="1" t="s">
        <v>95</v>
      </c>
      <c r="C39" s="1" t="s">
        <v>49</v>
      </c>
      <c r="D39" s="1" t="s">
        <v>12</v>
      </c>
      <c r="E39" s="1">
        <v>32</v>
      </c>
      <c r="F39" s="1">
        <v>2</v>
      </c>
      <c r="G39" s="1">
        <v>64</v>
      </c>
      <c r="H39" s="1" t="s">
        <v>31</v>
      </c>
      <c r="I39" s="1" t="s">
        <v>14</v>
      </c>
      <c r="J39" s="1" t="s">
        <v>37</v>
      </c>
      <c r="K39" s="2">
        <v>45160</v>
      </c>
      <c r="L39" s="2"/>
      <c r="M39" s="2">
        <v>45162</v>
      </c>
      <c r="N39" t="str">
        <f t="shared" si="0"/>
        <v>yes</v>
      </c>
      <c r="O39" t="str">
        <f>_xlfn.XLOOKUP(C39,'Product Master'!$A$1:$A$23,'Product Master'!$C$1:$C$23)</f>
        <v>Toys</v>
      </c>
      <c r="P39" t="str">
        <f t="shared" si="1"/>
        <v>na</v>
      </c>
      <c r="Q39" t="str">
        <f>IFERROR(_xlfn.XLOOKUP(B39,'Customer Master'!$A$1:$A$50,'Customer Master'!$B$1:$B$50),"not found")</f>
        <v>Lily Bennett</v>
      </c>
      <c r="R39" t="str" cm="1">
        <f t="array" ref="R39">_xlfn.IFS(P39="na","na",P39&lt;=2,"fast",P39&gt;2,"slow")</f>
        <v>na</v>
      </c>
      <c r="S39" t="str">
        <f>_xlfn.XLOOKUP(C39,'Product Master'!$A$1:$A$23,'Product Master'!$B$1:$B$23)</f>
        <v>Puzzle</v>
      </c>
    </row>
    <row r="40" spans="1:19" x14ac:dyDescent="0.2">
      <c r="A40" s="1" t="s">
        <v>117</v>
      </c>
      <c r="B40" s="1" t="s">
        <v>118</v>
      </c>
      <c r="C40" s="1" t="s">
        <v>45</v>
      </c>
      <c r="D40" s="1" t="s">
        <v>17</v>
      </c>
      <c r="E40" s="1">
        <v>66</v>
      </c>
      <c r="F40" s="1">
        <v>2</v>
      </c>
      <c r="G40" s="1">
        <v>132</v>
      </c>
      <c r="H40" s="1" t="s">
        <v>13</v>
      </c>
      <c r="I40" s="1" t="s">
        <v>22</v>
      </c>
      <c r="J40" s="1" t="s">
        <v>15</v>
      </c>
      <c r="K40" s="2">
        <v>45262</v>
      </c>
      <c r="L40" s="2"/>
      <c r="M40" s="2"/>
      <c r="N40" t="str">
        <f t="shared" si="0"/>
        <v>no</v>
      </c>
      <c r="O40" t="str">
        <f>_xlfn.XLOOKUP(C40,'Product Master'!$A$1:$A$23,'Product Master'!$C$1:$C$23)</f>
        <v>Fashion</v>
      </c>
      <c r="P40" t="str">
        <f t="shared" si="1"/>
        <v>na</v>
      </c>
      <c r="Q40" t="str">
        <f>IFERROR(_xlfn.XLOOKUP(B40,'Customer Master'!$A$1:$A$50,'Customer Master'!$B$1:$B$50),"not found")</f>
        <v>Scarlett Murphy</v>
      </c>
      <c r="R40" t="str" cm="1">
        <f t="array" ref="R40">_xlfn.IFS(P40="na","na",P40&lt;=2,"fast",P40&gt;2,"slow")</f>
        <v>na</v>
      </c>
      <c r="S40" t="str">
        <f>_xlfn.XLOOKUP(C40,'Product Master'!$A$1:$A$23,'Product Master'!$B$1:$B$23)</f>
        <v>Backpack</v>
      </c>
    </row>
    <row r="41" spans="1:19" x14ac:dyDescent="0.2">
      <c r="A41" s="1" t="s">
        <v>119</v>
      </c>
      <c r="B41" s="1" t="s">
        <v>120</v>
      </c>
      <c r="C41" s="1" t="s">
        <v>50</v>
      </c>
      <c r="D41" s="1" t="s">
        <v>17</v>
      </c>
      <c r="E41" s="1">
        <v>62</v>
      </c>
      <c r="F41" s="1">
        <v>4</v>
      </c>
      <c r="G41" s="1">
        <v>248</v>
      </c>
      <c r="H41" s="1" t="s">
        <v>31</v>
      </c>
      <c r="I41" s="1" t="s">
        <v>22</v>
      </c>
      <c r="J41" s="1" t="s">
        <v>25</v>
      </c>
      <c r="K41" s="2">
        <v>45285</v>
      </c>
      <c r="L41" s="2"/>
      <c r="M41" s="2"/>
      <c r="N41" t="str">
        <f t="shared" si="0"/>
        <v>no</v>
      </c>
      <c r="O41" t="str">
        <f>_xlfn.XLOOKUP(C41,'Product Master'!$A$1:$A$23,'Product Master'!$C$1:$C$23)</f>
        <v>Toys</v>
      </c>
      <c r="P41" t="str">
        <f t="shared" si="1"/>
        <v>na</v>
      </c>
      <c r="Q41" t="str">
        <f>IFERROR(_xlfn.XLOOKUP(B41,'Customer Master'!$A$1:$A$50,'Customer Master'!$B$1:$B$50),"not found")</f>
        <v>Ava Robinson</v>
      </c>
      <c r="R41" t="str" cm="1">
        <f t="array" ref="R41">_xlfn.IFS(P41="na","na",P41&lt;=2,"fast",P41&gt;2,"slow")</f>
        <v>na</v>
      </c>
      <c r="S41" t="str">
        <f>_xlfn.XLOOKUP(C41,'Product Master'!$A$1:$A$23,'Product Master'!$B$1:$B$23)</f>
        <v>Leg Set</v>
      </c>
    </row>
    <row r="42" spans="1:19" x14ac:dyDescent="0.2">
      <c r="A42" s="1" t="s">
        <v>121</v>
      </c>
      <c r="B42" s="1" t="s">
        <v>122</v>
      </c>
      <c r="C42" s="1" t="s">
        <v>47</v>
      </c>
      <c r="D42" s="1" t="s">
        <v>33</v>
      </c>
      <c r="E42" s="1">
        <v>173</v>
      </c>
      <c r="F42" s="1">
        <v>4</v>
      </c>
      <c r="G42" s="1">
        <v>692</v>
      </c>
      <c r="H42" s="1" t="s">
        <v>13</v>
      </c>
      <c r="I42" s="1" t="s">
        <v>19</v>
      </c>
      <c r="J42" s="1" t="s">
        <v>25</v>
      </c>
      <c r="K42" s="2">
        <v>45192</v>
      </c>
      <c r="L42" s="2">
        <v>45199</v>
      </c>
      <c r="M42" s="2"/>
      <c r="N42" t="str">
        <f t="shared" si="0"/>
        <v>no</v>
      </c>
      <c r="O42" t="str">
        <f>_xlfn.XLOOKUP(C42,'Product Master'!$A$1:$A$23,'Product Master'!$C$1:$C$23)</f>
        <v>Electronics</v>
      </c>
      <c r="P42">
        <f t="shared" si="1"/>
        <v>7</v>
      </c>
      <c r="Q42" t="str">
        <f>IFERROR(_xlfn.XLOOKUP(B42,'Customer Master'!$A$1:$A$50,'Customer Master'!$B$1:$B$50),"not found")</f>
        <v>James Miller</v>
      </c>
      <c r="R42" t="str" cm="1">
        <f t="array" ref="R42">_xlfn.IFS(P42="na","na",P42&lt;=2,"fast",P42&gt;2,"slow")</f>
        <v>slow</v>
      </c>
      <c r="S42" t="str">
        <f>_xlfn.XLOOKUP(C42,'Product Master'!$A$1:$A$23,'Product Master'!$B$1:$B$23)</f>
        <v>Headphones</v>
      </c>
    </row>
    <row r="43" spans="1:19" x14ac:dyDescent="0.2">
      <c r="A43" s="1" t="s">
        <v>123</v>
      </c>
      <c r="B43" s="1" t="s">
        <v>103</v>
      </c>
      <c r="C43" s="1" t="s">
        <v>50</v>
      </c>
      <c r="D43" s="1" t="s">
        <v>33</v>
      </c>
      <c r="E43" s="1">
        <v>63</v>
      </c>
      <c r="F43" s="1">
        <v>3</v>
      </c>
      <c r="G43" s="1">
        <v>189</v>
      </c>
      <c r="H43" s="1" t="s">
        <v>13</v>
      </c>
      <c r="I43" s="1" t="s">
        <v>19</v>
      </c>
      <c r="J43" s="1" t="s">
        <v>25</v>
      </c>
      <c r="K43" s="2">
        <v>45123</v>
      </c>
      <c r="L43" s="2">
        <v>45125</v>
      </c>
      <c r="M43" s="2"/>
      <c r="N43" t="str">
        <f t="shared" si="0"/>
        <v>no</v>
      </c>
      <c r="O43" t="str">
        <f>_xlfn.XLOOKUP(C43,'Product Master'!$A$1:$A$23,'Product Master'!$C$1:$C$23)</f>
        <v>Toys</v>
      </c>
      <c r="P43">
        <f t="shared" si="1"/>
        <v>2</v>
      </c>
      <c r="Q43" t="str">
        <f>IFERROR(_xlfn.XLOOKUP(B43,'Customer Master'!$A$1:$A$50,'Customer Master'!$B$1:$B$50),"not found")</f>
        <v>Liam Walker</v>
      </c>
      <c r="R43" t="str" cm="1">
        <f t="array" ref="R43">_xlfn.IFS(P43="na","na",P43&lt;=2,"fast",P43&gt;2,"slow")</f>
        <v>fast</v>
      </c>
      <c r="S43" t="str">
        <f>_xlfn.XLOOKUP(C43,'Product Master'!$A$1:$A$23,'Product Master'!$B$1:$B$23)</f>
        <v>Leg Set</v>
      </c>
    </row>
    <row r="44" spans="1:19" x14ac:dyDescent="0.2">
      <c r="A44" s="1" t="s">
        <v>124</v>
      </c>
      <c r="B44" s="1" t="s">
        <v>97</v>
      </c>
      <c r="C44" s="1" t="s">
        <v>32</v>
      </c>
      <c r="D44" s="1" t="s">
        <v>33</v>
      </c>
      <c r="E44" s="1">
        <v>36</v>
      </c>
      <c r="F44" s="1">
        <v>3</v>
      </c>
      <c r="G44" s="1">
        <v>108</v>
      </c>
      <c r="H44" s="1" t="s">
        <v>31</v>
      </c>
      <c r="I44" s="1" t="s">
        <v>14</v>
      </c>
      <c r="J44" s="1" t="s">
        <v>23</v>
      </c>
      <c r="K44" s="2">
        <v>44962</v>
      </c>
      <c r="L44" s="2"/>
      <c r="M44" s="2">
        <v>44968</v>
      </c>
      <c r="N44" t="str">
        <f t="shared" si="0"/>
        <v>yes</v>
      </c>
      <c r="O44" t="str">
        <f>_xlfn.XLOOKUP(C44,'Product Master'!$A$1:$A$23,'Product Master'!$C$1:$C$23)</f>
        <v>Home</v>
      </c>
      <c r="P44" t="str">
        <f t="shared" si="1"/>
        <v>na</v>
      </c>
      <c r="Q44" t="str">
        <f>IFERROR(_xlfn.XLOOKUP(B44,'Customer Master'!$A$1:$A$50,'Customer Master'!$B$1:$B$50),"not found")</f>
        <v>Benjamin Clark</v>
      </c>
      <c r="R44" t="str" cm="1">
        <f t="array" ref="R44">_xlfn.IFS(P44="na","na",P44&lt;=2,"fast",P44&gt;2,"slow")</f>
        <v>na</v>
      </c>
      <c r="S44" t="str">
        <f>_xlfn.XLOOKUP(C44,'Product Master'!$A$1:$A$23,'Product Master'!$B$1:$B$23)</f>
        <v>Wall Clock</v>
      </c>
    </row>
    <row r="45" spans="1:19" x14ac:dyDescent="0.2">
      <c r="A45" s="1" t="s">
        <v>125</v>
      </c>
      <c r="B45" s="1" t="s">
        <v>120</v>
      </c>
      <c r="C45" s="1" t="s">
        <v>50</v>
      </c>
      <c r="D45" s="1" t="s">
        <v>30</v>
      </c>
      <c r="E45" s="1">
        <v>62</v>
      </c>
      <c r="F45" s="1">
        <v>1</v>
      </c>
      <c r="G45" s="1">
        <v>62</v>
      </c>
      <c r="H45" s="1" t="s">
        <v>13</v>
      </c>
      <c r="I45" s="1" t="s">
        <v>14</v>
      </c>
      <c r="J45" s="1" t="s">
        <v>27</v>
      </c>
      <c r="K45" s="2">
        <v>45278</v>
      </c>
      <c r="L45" s="2"/>
      <c r="M45" s="2">
        <v>45283</v>
      </c>
      <c r="N45" t="str">
        <f t="shared" si="0"/>
        <v>yes</v>
      </c>
      <c r="O45" t="str">
        <f>_xlfn.XLOOKUP(C45,'Product Master'!$A$1:$A$23,'Product Master'!$C$1:$C$23)</f>
        <v>Toys</v>
      </c>
      <c r="P45" t="str">
        <f t="shared" si="1"/>
        <v>na</v>
      </c>
      <c r="Q45" t="str">
        <f>IFERROR(_xlfn.XLOOKUP(B45,'Customer Master'!$A$1:$A$50,'Customer Master'!$B$1:$B$50),"not found")</f>
        <v>Ava Robinson</v>
      </c>
      <c r="R45" t="str" cm="1">
        <f t="array" ref="R45">_xlfn.IFS(P45="na","na",P45&lt;=2,"fast",P45&gt;2,"slow")</f>
        <v>na</v>
      </c>
      <c r="S45" t="str">
        <f>_xlfn.XLOOKUP(C45,'Product Master'!$A$1:$A$23,'Product Master'!$B$1:$B$23)</f>
        <v>Leg Set</v>
      </c>
    </row>
    <row r="46" spans="1:19" x14ac:dyDescent="0.2">
      <c r="A46" s="1" t="s">
        <v>126</v>
      </c>
      <c r="B46" s="1" t="s">
        <v>66</v>
      </c>
      <c r="C46" s="1" t="s">
        <v>35</v>
      </c>
      <c r="D46" s="1" t="s">
        <v>30</v>
      </c>
      <c r="E46" s="1">
        <v>137</v>
      </c>
      <c r="F46" s="1">
        <v>5</v>
      </c>
      <c r="G46" s="1">
        <v>685</v>
      </c>
      <c r="H46" s="1" t="s">
        <v>28</v>
      </c>
      <c r="I46" s="1" t="s">
        <v>14</v>
      </c>
      <c r="J46" s="1" t="s">
        <v>37</v>
      </c>
      <c r="K46" s="2">
        <v>45088</v>
      </c>
      <c r="L46" s="2"/>
      <c r="M46" s="2">
        <v>45091</v>
      </c>
      <c r="N46" t="str">
        <f t="shared" si="0"/>
        <v>yes</v>
      </c>
      <c r="O46" t="str">
        <f>_xlfn.XLOOKUP(C46,'Product Master'!$A$1:$A$23,'Product Master'!$C$1:$C$23)</f>
        <v>Home</v>
      </c>
      <c r="P46" t="str">
        <f t="shared" si="1"/>
        <v>na</v>
      </c>
      <c r="Q46" t="str">
        <f>IFERROR(_xlfn.XLOOKUP(B46,'Customer Master'!$A$1:$A$50,'Customer Master'!$B$1:$B$50),"not found")</f>
        <v>Noah Wilson</v>
      </c>
      <c r="R46" t="str" cm="1">
        <f t="array" ref="R46">_xlfn.IFS(P46="na","na",P46&lt;=2,"fast",P46&gt;2,"slow")</f>
        <v>na</v>
      </c>
      <c r="S46" t="str">
        <f>_xlfn.XLOOKUP(C46,'Product Master'!$A$1:$A$23,'Product Master'!$B$1:$B$23)</f>
        <v>Cookware Set</v>
      </c>
    </row>
    <row r="47" spans="1:19" x14ac:dyDescent="0.2">
      <c r="A47" s="1" t="s">
        <v>127</v>
      </c>
      <c r="B47" s="1" t="s">
        <v>128</v>
      </c>
      <c r="C47" s="1" t="s">
        <v>39</v>
      </c>
      <c r="D47" s="1" t="s">
        <v>12</v>
      </c>
      <c r="E47" s="1">
        <v>73</v>
      </c>
      <c r="F47" s="1">
        <v>4</v>
      </c>
      <c r="G47" s="1">
        <v>292</v>
      </c>
      <c r="H47" s="1" t="s">
        <v>18</v>
      </c>
      <c r="I47" s="1" t="s">
        <v>19</v>
      </c>
      <c r="J47" s="1" t="s">
        <v>27</v>
      </c>
      <c r="K47" s="2">
        <v>45264</v>
      </c>
      <c r="L47" s="2">
        <v>45268</v>
      </c>
      <c r="M47" s="2"/>
      <c r="N47" t="str">
        <f t="shared" si="0"/>
        <v>no</v>
      </c>
      <c r="O47" t="str">
        <f>_xlfn.XLOOKUP(C47,'Product Master'!$A$1:$A$23,'Product Master'!$C$1:$C$23)</f>
        <v>Electronics</v>
      </c>
      <c r="P47">
        <f t="shared" si="1"/>
        <v>4</v>
      </c>
      <c r="Q47" t="str">
        <f>IFERROR(_xlfn.XLOOKUP(B47,'Customer Master'!$A$1:$A$50,'Customer Master'!$B$1:$B$50),"not found")</f>
        <v>Logan Ramirez</v>
      </c>
      <c r="R47" t="str" cm="1">
        <f t="array" ref="R47">_xlfn.IFS(P47="na","na",P47&lt;=2,"fast",P47&gt;2,"slow")</f>
        <v>slow</v>
      </c>
      <c r="S47" t="str">
        <f>_xlfn.XLOOKUP(C47,'Product Master'!$A$1:$A$23,'Product Master'!$B$1:$B$23)</f>
        <v>Gaming Mouse</v>
      </c>
    </row>
    <row r="48" spans="1:19" x14ac:dyDescent="0.2">
      <c r="A48" s="1" t="s">
        <v>129</v>
      </c>
      <c r="B48" s="1" t="s">
        <v>87</v>
      </c>
      <c r="C48" s="1" t="s">
        <v>29</v>
      </c>
      <c r="D48" s="1" t="s">
        <v>12</v>
      </c>
      <c r="E48" s="1">
        <v>104</v>
      </c>
      <c r="F48" s="1">
        <v>1</v>
      </c>
      <c r="G48" s="1">
        <v>104</v>
      </c>
      <c r="H48" s="1" t="s">
        <v>24</v>
      </c>
      <c r="I48" s="1" t="s">
        <v>19</v>
      </c>
      <c r="J48" s="1" t="s">
        <v>27</v>
      </c>
      <c r="K48" s="2">
        <v>45124</v>
      </c>
      <c r="L48" s="2">
        <v>45126</v>
      </c>
      <c r="M48" s="2"/>
      <c r="N48" t="str">
        <f t="shared" si="0"/>
        <v>no</v>
      </c>
      <c r="O48" t="str">
        <f>_xlfn.XLOOKUP(C48,'Product Master'!$A$1:$A$23,'Product Master'!$C$1:$C$23)</f>
        <v>Electronics</v>
      </c>
      <c r="P48">
        <f t="shared" si="1"/>
        <v>2</v>
      </c>
      <c r="Q48" t="str">
        <f>IFERROR(_xlfn.XLOOKUP(B48,'Customer Master'!$A$1:$A$50,'Customer Master'!$B$1:$B$50),"not found")</f>
        <v>Jacob Price</v>
      </c>
      <c r="R48" t="str" cm="1">
        <f t="array" ref="R48">_xlfn.IFS(P48="na","na",P48&lt;=2,"fast",P48&gt;2,"slow")</f>
        <v>fast</v>
      </c>
      <c r="S48" t="str">
        <f>_xlfn.XLOOKUP(C48,'Product Master'!$A$1:$A$23,'Product Master'!$B$1:$B$23)</f>
        <v>Bluetooth Speaker</v>
      </c>
    </row>
    <row r="49" spans="1:19" x14ac:dyDescent="0.2">
      <c r="A49" s="1" t="s">
        <v>130</v>
      </c>
      <c r="B49" s="1" t="s">
        <v>60</v>
      </c>
      <c r="C49" s="1" t="s">
        <v>38</v>
      </c>
      <c r="D49" s="1" t="s">
        <v>17</v>
      </c>
      <c r="E49" s="1">
        <v>97</v>
      </c>
      <c r="F49" s="1">
        <v>1</v>
      </c>
      <c r="G49" s="1">
        <v>97</v>
      </c>
      <c r="H49" s="1" t="s">
        <v>28</v>
      </c>
      <c r="I49" s="1" t="s">
        <v>19</v>
      </c>
      <c r="J49" s="1" t="s">
        <v>37</v>
      </c>
      <c r="K49" s="2">
        <v>45218</v>
      </c>
      <c r="L49" s="2">
        <v>45223</v>
      </c>
      <c r="M49" s="2"/>
      <c r="N49" t="str">
        <f t="shared" si="0"/>
        <v>no</v>
      </c>
      <c r="O49" t="str">
        <f>_xlfn.XLOOKUP(C49,'Product Master'!$A$1:$A$23,'Product Master'!$C$1:$C$23)</f>
        <v>Fashion</v>
      </c>
      <c r="P49">
        <f t="shared" si="1"/>
        <v>5</v>
      </c>
      <c r="Q49" t="str">
        <f>IFERROR(_xlfn.XLOOKUP(B49,'Customer Master'!$A$1:$A$50,'Customer Master'!$B$1:$B$50),"not found")</f>
        <v>Grace Ward</v>
      </c>
      <c r="R49" t="str" cm="1">
        <f t="array" ref="R49">_xlfn.IFS(P49="na","na",P49&lt;=2,"fast",P49&gt;2,"slow")</f>
        <v>slow</v>
      </c>
      <c r="S49" t="str">
        <f>_xlfn.XLOOKUP(C49,'Product Master'!$A$1:$A$23,'Product Master'!$B$1:$B$23)</f>
        <v>Shoes</v>
      </c>
    </row>
    <row r="50" spans="1:19" x14ac:dyDescent="0.2">
      <c r="A50" s="1" t="s">
        <v>131</v>
      </c>
      <c r="B50" s="1" t="s">
        <v>132</v>
      </c>
      <c r="C50" s="1" t="s">
        <v>39</v>
      </c>
      <c r="D50" s="1" t="s">
        <v>21</v>
      </c>
      <c r="E50" s="1">
        <v>73</v>
      </c>
      <c r="F50" s="1">
        <v>5</v>
      </c>
      <c r="G50" s="1">
        <v>365</v>
      </c>
      <c r="H50" s="1" t="s">
        <v>13</v>
      </c>
      <c r="I50" s="1" t="s">
        <v>22</v>
      </c>
      <c r="J50" s="1" t="s">
        <v>27</v>
      </c>
      <c r="K50" s="2">
        <v>45061</v>
      </c>
      <c r="L50" s="2"/>
      <c r="M50" s="2"/>
      <c r="N50" t="str">
        <f t="shared" si="0"/>
        <v>no</v>
      </c>
      <c r="O50" t="str">
        <f>_xlfn.XLOOKUP(C50,'Product Master'!$A$1:$A$23,'Product Master'!$C$1:$C$23)</f>
        <v>Electronics</v>
      </c>
      <c r="P50" t="str">
        <f t="shared" si="1"/>
        <v>na</v>
      </c>
      <c r="Q50" t="str">
        <f>IFERROR(_xlfn.XLOOKUP(B50,'Customer Master'!$A$1:$A$50,'Customer Master'!$B$1:$B$50),"not found")</f>
        <v>Zoe Mitchell</v>
      </c>
      <c r="R50" t="str" cm="1">
        <f t="array" ref="R50">_xlfn.IFS(P50="na","na",P50&lt;=2,"fast",P50&gt;2,"slow")</f>
        <v>na</v>
      </c>
      <c r="S50" t="str">
        <f>_xlfn.XLOOKUP(C50,'Product Master'!$A$1:$A$23,'Product Master'!$B$1:$B$23)</f>
        <v>Gaming Mouse</v>
      </c>
    </row>
    <row r="51" spans="1:19" x14ac:dyDescent="0.2">
      <c r="A51" s="1" t="s">
        <v>133</v>
      </c>
      <c r="B51" s="1" t="s">
        <v>97</v>
      </c>
      <c r="C51" s="1" t="s">
        <v>40</v>
      </c>
      <c r="D51" s="1" t="s">
        <v>17</v>
      </c>
      <c r="E51" s="1">
        <v>27</v>
      </c>
      <c r="F51" s="1">
        <v>3</v>
      </c>
      <c r="G51" s="1">
        <v>81</v>
      </c>
      <c r="H51" s="1" t="s">
        <v>28</v>
      </c>
      <c r="I51" s="1" t="s">
        <v>19</v>
      </c>
      <c r="J51" s="1" t="s">
        <v>25</v>
      </c>
      <c r="K51" s="2">
        <v>44969</v>
      </c>
      <c r="L51" s="2">
        <v>44976</v>
      </c>
      <c r="M51" s="2"/>
      <c r="N51" t="str">
        <f t="shared" si="0"/>
        <v>no</v>
      </c>
      <c r="O51" t="str">
        <f>_xlfn.XLOOKUP(C51,'Product Master'!$A$1:$A$23,'Product Master'!$C$1:$C$23)</f>
        <v>Fashion</v>
      </c>
      <c r="P51">
        <f t="shared" si="1"/>
        <v>7</v>
      </c>
      <c r="Q51" t="str">
        <f>IFERROR(_xlfn.XLOOKUP(B51,'Customer Master'!$A$1:$A$50,'Customer Master'!$B$1:$B$50),"not found")</f>
        <v>Benjamin Clark</v>
      </c>
      <c r="R51" t="str" cm="1">
        <f t="array" ref="R51">_xlfn.IFS(P51="na","na",P51&lt;=2,"fast",P51&gt;2,"slow")</f>
        <v>slow</v>
      </c>
      <c r="S51" t="str">
        <f>_xlfn.XLOOKUP(C51,'Product Master'!$A$1:$A$23,'Product Master'!$B$1:$B$23)</f>
        <v>T-Shirt</v>
      </c>
    </row>
    <row r="52" spans="1:19" x14ac:dyDescent="0.2">
      <c r="A52" s="1" t="s">
        <v>134</v>
      </c>
      <c r="B52" s="1" t="s">
        <v>87</v>
      </c>
      <c r="C52" s="1" t="s">
        <v>32</v>
      </c>
      <c r="D52" s="1" t="s">
        <v>12</v>
      </c>
      <c r="E52" s="1">
        <v>37</v>
      </c>
      <c r="F52" s="1">
        <v>1</v>
      </c>
      <c r="G52" s="1">
        <v>37</v>
      </c>
      <c r="H52" s="1" t="s">
        <v>13</v>
      </c>
      <c r="I52" s="1" t="s">
        <v>22</v>
      </c>
      <c r="J52" s="1" t="s">
        <v>25</v>
      </c>
      <c r="K52" s="2">
        <v>45201</v>
      </c>
      <c r="L52" s="2"/>
      <c r="M52" s="2"/>
      <c r="N52" t="str">
        <f t="shared" si="0"/>
        <v>no</v>
      </c>
      <c r="O52" t="str">
        <f>_xlfn.XLOOKUP(C52,'Product Master'!$A$1:$A$23,'Product Master'!$C$1:$C$23)</f>
        <v>Home</v>
      </c>
      <c r="P52" t="str">
        <f t="shared" si="1"/>
        <v>na</v>
      </c>
      <c r="Q52" t="str">
        <f>IFERROR(_xlfn.XLOOKUP(B52,'Customer Master'!$A$1:$A$50,'Customer Master'!$B$1:$B$50),"not found")</f>
        <v>Jacob Price</v>
      </c>
      <c r="R52" t="str" cm="1">
        <f t="array" ref="R52">_xlfn.IFS(P52="na","na",P52&lt;=2,"fast",P52&gt;2,"slow")</f>
        <v>na</v>
      </c>
      <c r="S52" t="str">
        <f>_xlfn.XLOOKUP(C52,'Product Master'!$A$1:$A$23,'Product Master'!$B$1:$B$23)</f>
        <v>Wall Clock</v>
      </c>
    </row>
    <row r="53" spans="1:19" x14ac:dyDescent="0.2">
      <c r="A53" s="1" t="s">
        <v>135</v>
      </c>
      <c r="B53" s="1" t="s">
        <v>105</v>
      </c>
      <c r="C53" s="1" t="s">
        <v>41</v>
      </c>
      <c r="D53" s="1" t="s">
        <v>12</v>
      </c>
      <c r="E53" s="1">
        <v>22</v>
      </c>
      <c r="F53" s="1">
        <v>1</v>
      </c>
      <c r="G53" s="1">
        <v>22</v>
      </c>
      <c r="H53" s="1" t="s">
        <v>31</v>
      </c>
      <c r="I53" s="1" t="s">
        <v>19</v>
      </c>
      <c r="J53" s="1" t="s">
        <v>37</v>
      </c>
      <c r="K53" s="2">
        <v>44956</v>
      </c>
      <c r="L53" s="2">
        <v>44958</v>
      </c>
      <c r="M53" s="2"/>
      <c r="N53" t="str">
        <f t="shared" si="0"/>
        <v>no</v>
      </c>
      <c r="O53" t="str">
        <f>_xlfn.XLOOKUP(C53,'Product Master'!$A$1:$A$23,'Product Master'!$C$1:$C$23)</f>
        <v>Books</v>
      </c>
      <c r="P53">
        <f t="shared" si="1"/>
        <v>2</v>
      </c>
      <c r="Q53" t="str">
        <f>IFERROR(_xlfn.XLOOKUP(B53,'Customer Master'!$A$1:$A$50,'Customer Master'!$B$1:$B$50),"not found")</f>
        <v>Harper Young</v>
      </c>
      <c r="R53" t="str" cm="1">
        <f t="array" ref="R53">_xlfn.IFS(P53="na","na",P53&lt;=2,"fast",P53&gt;2,"slow")</f>
        <v>fast</v>
      </c>
      <c r="S53" t="str">
        <f>_xlfn.XLOOKUP(C53,'Product Master'!$A$1:$A$23,'Product Master'!$B$1:$B$23)</f>
        <v>Novel</v>
      </c>
    </row>
    <row r="54" spans="1:19" x14ac:dyDescent="0.2">
      <c r="A54" s="1" t="s">
        <v>136</v>
      </c>
      <c r="B54" s="1" t="s">
        <v>85</v>
      </c>
      <c r="C54" s="1" t="s">
        <v>48</v>
      </c>
      <c r="D54" s="1" t="s">
        <v>30</v>
      </c>
      <c r="E54" s="1">
        <v>218</v>
      </c>
      <c r="F54" s="1">
        <v>5</v>
      </c>
      <c r="G54" s="1">
        <v>1090</v>
      </c>
      <c r="H54" s="1" t="s">
        <v>24</v>
      </c>
      <c r="I54" s="1" t="s">
        <v>19</v>
      </c>
      <c r="J54" s="1" t="s">
        <v>15</v>
      </c>
      <c r="K54" s="2">
        <v>45289</v>
      </c>
      <c r="L54" s="2">
        <v>45292</v>
      </c>
      <c r="M54" s="2"/>
      <c r="N54" t="str">
        <f t="shared" si="0"/>
        <v>no</v>
      </c>
      <c r="O54" t="str">
        <f>_xlfn.XLOOKUP(C54,'Product Master'!$A$1:$A$23,'Product Master'!$C$1:$C$23)</f>
        <v>Home</v>
      </c>
      <c r="P54">
        <f t="shared" si="1"/>
        <v>3</v>
      </c>
      <c r="Q54" t="str">
        <f>IFERROR(_xlfn.XLOOKUP(B54,'Customer Master'!$A$1:$A$50,'Customer Master'!$B$1:$B$50),"not found")</f>
        <v>Mason Hall</v>
      </c>
      <c r="R54" t="str" cm="1">
        <f t="array" ref="R54">_xlfn.IFS(P54="na","na",P54&lt;=2,"fast",P54&gt;2,"slow")</f>
        <v>slow</v>
      </c>
      <c r="S54" t="str">
        <f>_xlfn.XLOOKUP(C54,'Product Master'!$A$1:$A$23,'Product Master'!$B$1:$B$23)</f>
        <v>Cookware Set Pro</v>
      </c>
    </row>
    <row r="55" spans="1:19" x14ac:dyDescent="0.2">
      <c r="A55" s="1" t="s">
        <v>137</v>
      </c>
      <c r="B55" s="1" t="s">
        <v>100</v>
      </c>
      <c r="C55" s="1" t="s">
        <v>50</v>
      </c>
      <c r="D55" s="1" t="s">
        <v>12</v>
      </c>
      <c r="E55" s="1">
        <v>64</v>
      </c>
      <c r="F55" s="1">
        <v>1</v>
      </c>
      <c r="G55" s="1">
        <v>64</v>
      </c>
      <c r="H55" s="1" t="s">
        <v>13</v>
      </c>
      <c r="I55" s="1" t="s">
        <v>14</v>
      </c>
      <c r="J55" s="1" t="s">
        <v>23</v>
      </c>
      <c r="K55" s="2">
        <v>44991</v>
      </c>
      <c r="L55" s="2"/>
      <c r="M55" s="2">
        <v>44998</v>
      </c>
      <c r="N55" t="str">
        <f t="shared" si="0"/>
        <v>yes</v>
      </c>
      <c r="O55" t="str">
        <f>_xlfn.XLOOKUP(C55,'Product Master'!$A$1:$A$23,'Product Master'!$C$1:$C$23)</f>
        <v>Toys</v>
      </c>
      <c r="P55" t="str">
        <f t="shared" si="1"/>
        <v>na</v>
      </c>
      <c r="Q55" t="str">
        <f>IFERROR(_xlfn.XLOOKUP(B55,'Customer Master'!$A$1:$A$50,'Customer Master'!$B$1:$B$50),"not found")</f>
        <v>Grace Scott</v>
      </c>
      <c r="R55" t="str" cm="1">
        <f t="array" ref="R55">_xlfn.IFS(P55="na","na",P55&lt;=2,"fast",P55&gt;2,"slow")</f>
        <v>na</v>
      </c>
      <c r="S55" t="str">
        <f>_xlfn.XLOOKUP(C55,'Product Master'!$A$1:$A$23,'Product Master'!$B$1:$B$23)</f>
        <v>Leg Set</v>
      </c>
    </row>
    <row r="56" spans="1:19" x14ac:dyDescent="0.2">
      <c r="A56" s="1" t="s">
        <v>138</v>
      </c>
      <c r="B56" s="1" t="s">
        <v>109</v>
      </c>
      <c r="C56" s="1" t="s">
        <v>32</v>
      </c>
      <c r="D56" s="1" t="s">
        <v>30</v>
      </c>
      <c r="E56" s="1">
        <v>36</v>
      </c>
      <c r="F56" s="1">
        <v>4</v>
      </c>
      <c r="G56" s="1">
        <v>144</v>
      </c>
      <c r="H56" s="1" t="s">
        <v>24</v>
      </c>
      <c r="I56" s="1" t="s">
        <v>19</v>
      </c>
      <c r="J56" s="1" t="s">
        <v>27</v>
      </c>
      <c r="K56" s="2">
        <v>44959</v>
      </c>
      <c r="L56" s="2">
        <v>44963</v>
      </c>
      <c r="M56" s="2"/>
      <c r="N56" t="str">
        <f t="shared" si="0"/>
        <v>no</v>
      </c>
      <c r="O56" t="str">
        <f>_xlfn.XLOOKUP(C56,'Product Master'!$A$1:$A$23,'Product Master'!$C$1:$C$23)</f>
        <v>Home</v>
      </c>
      <c r="P56">
        <f t="shared" si="1"/>
        <v>4</v>
      </c>
      <c r="Q56" t="str">
        <f>IFERROR(_xlfn.XLOOKUP(B56,'Customer Master'!$A$1:$A$50,'Customer Master'!$B$1:$B$50),"not found")</f>
        <v>Emily Johnson</v>
      </c>
      <c r="R56" t="str" cm="1">
        <f t="array" ref="R56">_xlfn.IFS(P56="na","na",P56&lt;=2,"fast",P56&gt;2,"slow")</f>
        <v>slow</v>
      </c>
      <c r="S56" t="str">
        <f>_xlfn.XLOOKUP(C56,'Product Master'!$A$1:$A$23,'Product Master'!$B$1:$B$23)</f>
        <v>Wall Clock</v>
      </c>
    </row>
    <row r="57" spans="1:19" x14ac:dyDescent="0.2">
      <c r="A57" s="1" t="s">
        <v>139</v>
      </c>
      <c r="B57" s="1" t="s">
        <v>140</v>
      </c>
      <c r="C57" s="1" t="s">
        <v>50</v>
      </c>
      <c r="D57" s="1" t="s">
        <v>33</v>
      </c>
      <c r="E57" s="1">
        <v>65</v>
      </c>
      <c r="F57" s="1">
        <v>1</v>
      </c>
      <c r="G57" s="1">
        <v>65</v>
      </c>
      <c r="H57" s="1" t="s">
        <v>28</v>
      </c>
      <c r="I57" s="1" t="s">
        <v>19</v>
      </c>
      <c r="J57" s="1" t="s">
        <v>37</v>
      </c>
      <c r="K57" s="2">
        <v>45217</v>
      </c>
      <c r="L57" s="2">
        <v>45220</v>
      </c>
      <c r="M57" s="2"/>
      <c r="N57" t="str">
        <f t="shared" si="0"/>
        <v>no</v>
      </c>
      <c r="O57" t="str">
        <f>_xlfn.XLOOKUP(C57,'Product Master'!$A$1:$A$23,'Product Master'!$C$1:$C$23)</f>
        <v>Toys</v>
      </c>
      <c r="P57">
        <f t="shared" si="1"/>
        <v>3</v>
      </c>
      <c r="Q57" t="str">
        <f>IFERROR(_xlfn.XLOOKUP(B57,'Customer Master'!$A$1:$A$50,'Customer Master'!$B$1:$B$50),"not found")</f>
        <v>Emma King</v>
      </c>
      <c r="R57" t="str" cm="1">
        <f t="array" ref="R57">_xlfn.IFS(P57="na","na",P57&lt;=2,"fast",P57&gt;2,"slow")</f>
        <v>slow</v>
      </c>
      <c r="S57" t="str">
        <f>_xlfn.XLOOKUP(C57,'Product Master'!$A$1:$A$23,'Product Master'!$B$1:$B$23)</f>
        <v>Leg Set</v>
      </c>
    </row>
    <row r="58" spans="1:19" x14ac:dyDescent="0.2">
      <c r="A58" s="1" t="s">
        <v>141</v>
      </c>
      <c r="B58" s="1" t="s">
        <v>89</v>
      </c>
      <c r="C58" s="1" t="s">
        <v>40</v>
      </c>
      <c r="D58" s="1" t="s">
        <v>30</v>
      </c>
      <c r="E58" s="1">
        <v>26</v>
      </c>
      <c r="F58" s="1">
        <v>1</v>
      </c>
      <c r="G58" s="1">
        <v>26</v>
      </c>
      <c r="H58" s="1" t="s">
        <v>13</v>
      </c>
      <c r="I58" s="1" t="s">
        <v>19</v>
      </c>
      <c r="J58" s="1" t="s">
        <v>15</v>
      </c>
      <c r="K58" s="2">
        <v>44933</v>
      </c>
      <c r="L58" s="2">
        <v>44935</v>
      </c>
      <c r="M58" s="2"/>
      <c r="N58" t="str">
        <f t="shared" si="0"/>
        <v>no</v>
      </c>
      <c r="O58" t="str">
        <f>_xlfn.XLOOKUP(C58,'Product Master'!$A$1:$A$23,'Product Master'!$C$1:$C$23)</f>
        <v>Fashion</v>
      </c>
      <c r="P58">
        <f t="shared" si="1"/>
        <v>2</v>
      </c>
      <c r="Q58" t="str">
        <f>IFERROR(_xlfn.XLOOKUP(B58,'Customer Master'!$A$1:$A$50,'Customer Master'!$B$1:$B$50),"not found")</f>
        <v>Emma King</v>
      </c>
      <c r="R58" t="str" cm="1">
        <f t="array" ref="R58">_xlfn.IFS(P58="na","na",P58&lt;=2,"fast",P58&gt;2,"slow")</f>
        <v>fast</v>
      </c>
      <c r="S58" t="str">
        <f>_xlfn.XLOOKUP(C58,'Product Master'!$A$1:$A$23,'Product Master'!$B$1:$B$23)</f>
        <v>T-Shirt</v>
      </c>
    </row>
    <row r="59" spans="1:19" x14ac:dyDescent="0.2">
      <c r="A59" s="1" t="s">
        <v>142</v>
      </c>
      <c r="B59" s="1" t="s">
        <v>55</v>
      </c>
      <c r="C59" s="1" t="s">
        <v>46</v>
      </c>
      <c r="D59" s="1" t="s">
        <v>12</v>
      </c>
      <c r="E59" s="1">
        <v>11</v>
      </c>
      <c r="F59" s="1">
        <v>5</v>
      </c>
      <c r="G59" s="1">
        <v>55</v>
      </c>
      <c r="H59" s="1" t="s">
        <v>18</v>
      </c>
      <c r="I59" s="1" t="s">
        <v>22</v>
      </c>
      <c r="J59" s="1" t="s">
        <v>37</v>
      </c>
      <c r="K59" s="2">
        <v>45054</v>
      </c>
      <c r="L59" s="2"/>
      <c r="M59" s="2"/>
      <c r="N59" t="str">
        <f t="shared" si="0"/>
        <v>no</v>
      </c>
      <c r="O59" t="str">
        <f>_xlfn.XLOOKUP(C59,'Product Master'!$A$1:$A$23,'Product Master'!$C$1:$C$23)</f>
        <v>Books</v>
      </c>
      <c r="P59" t="str">
        <f t="shared" si="1"/>
        <v>na</v>
      </c>
      <c r="Q59" t="str">
        <f>IFERROR(_xlfn.XLOOKUP(B59,'Customer Master'!$A$1:$A$50,'Customer Master'!$B$1:$B$50),"not found")</f>
        <v>Zoe Mitchell</v>
      </c>
      <c r="R59" t="str" cm="1">
        <f t="array" ref="R59">_xlfn.IFS(P59="na","na",P59&lt;=2,"fast",P59&gt;2,"slow")</f>
        <v>na</v>
      </c>
      <c r="S59" t="str">
        <f>_xlfn.XLOOKUP(C59,'Product Master'!$A$1:$A$23,'Product Master'!$B$1:$B$23)</f>
        <v>Magazine</v>
      </c>
    </row>
    <row r="60" spans="1:19" x14ac:dyDescent="0.2">
      <c r="A60" s="1" t="s">
        <v>143</v>
      </c>
      <c r="B60" s="1" t="s">
        <v>144</v>
      </c>
      <c r="C60" s="1" t="s">
        <v>20</v>
      </c>
      <c r="D60" s="1" t="s">
        <v>12</v>
      </c>
      <c r="E60" s="1">
        <v>195</v>
      </c>
      <c r="F60" s="1">
        <v>4</v>
      </c>
      <c r="G60" s="1">
        <v>780</v>
      </c>
      <c r="H60" s="1" t="s">
        <v>24</v>
      </c>
      <c r="I60" s="1" t="s">
        <v>14</v>
      </c>
      <c r="J60" s="1" t="s">
        <v>37</v>
      </c>
      <c r="K60" s="2">
        <v>45018</v>
      </c>
      <c r="L60" s="2"/>
      <c r="M60" s="2">
        <v>45021</v>
      </c>
      <c r="N60" t="str">
        <f t="shared" si="0"/>
        <v>yes</v>
      </c>
      <c r="O60" t="str">
        <f>_xlfn.XLOOKUP(C60,'Product Master'!$A$1:$A$23,'Product Master'!$C$1:$C$23)</f>
        <v>Home</v>
      </c>
      <c r="P60" t="str">
        <f t="shared" si="1"/>
        <v>na</v>
      </c>
      <c r="Q60" t="str">
        <f>IFERROR(_xlfn.XLOOKUP(B60,'Customer Master'!$A$1:$A$50,'Customer Master'!$B$1:$B$50),"not found")</f>
        <v>Ethan Davis</v>
      </c>
      <c r="R60" t="str" cm="1">
        <f t="array" ref="R60">_xlfn.IFS(P60="na","na",P60&lt;=2,"fast",P60&gt;2,"slow")</f>
        <v>na</v>
      </c>
      <c r="S60" t="str">
        <f>_xlfn.XLOOKUP(C60,'Product Master'!$A$1:$A$23,'Product Master'!$B$1:$B$23)</f>
        <v>Vacuum Cleaner</v>
      </c>
    </row>
    <row r="61" spans="1:19" x14ac:dyDescent="0.2">
      <c r="A61" s="1" t="s">
        <v>145</v>
      </c>
      <c r="B61" s="1" t="s">
        <v>68</v>
      </c>
      <c r="C61" s="1" t="s">
        <v>34</v>
      </c>
      <c r="D61" s="1" t="s">
        <v>33</v>
      </c>
      <c r="E61" s="1">
        <v>44</v>
      </c>
      <c r="F61" s="1">
        <v>5</v>
      </c>
      <c r="G61" s="1">
        <v>220</v>
      </c>
      <c r="H61" s="1" t="s">
        <v>13</v>
      </c>
      <c r="I61" s="1" t="s">
        <v>14</v>
      </c>
      <c r="J61" s="1" t="s">
        <v>23</v>
      </c>
      <c r="K61" s="2">
        <v>45210</v>
      </c>
      <c r="L61" s="2"/>
      <c r="M61" s="2">
        <v>45211</v>
      </c>
      <c r="N61" t="str">
        <f t="shared" si="0"/>
        <v>yes</v>
      </c>
      <c r="O61" t="str">
        <f>_xlfn.XLOOKUP(C61,'Product Master'!$A$1:$A$23,'Product Master'!$C$1:$C$23)</f>
        <v>Fashion</v>
      </c>
      <c r="P61" t="str">
        <f t="shared" si="1"/>
        <v>na</v>
      </c>
      <c r="Q61" t="str">
        <f>IFERROR(_xlfn.XLOOKUP(B61,'Customer Master'!$A$1:$A$50,'Customer Master'!$B$1:$B$50),"not found")</f>
        <v>Ava Robinson</v>
      </c>
      <c r="R61" t="str" cm="1">
        <f t="array" ref="R61">_xlfn.IFS(P61="na","na",P61&lt;=2,"fast",P61&gt;2,"slow")</f>
        <v>na</v>
      </c>
      <c r="S61" t="str">
        <f>_xlfn.XLOOKUP(C61,'Product Master'!$A$1:$A$23,'Product Master'!$B$1:$B$23)</f>
        <v>Formal Shirt</v>
      </c>
    </row>
    <row r="62" spans="1:19" x14ac:dyDescent="0.2">
      <c r="A62" s="1" t="s">
        <v>146</v>
      </c>
      <c r="B62" s="1" t="s">
        <v>147</v>
      </c>
      <c r="C62" s="1" t="s">
        <v>42</v>
      </c>
      <c r="D62" s="1" t="s">
        <v>17</v>
      </c>
      <c r="E62" s="1">
        <v>69</v>
      </c>
      <c r="F62" s="1">
        <v>4</v>
      </c>
      <c r="G62" s="1">
        <v>276</v>
      </c>
      <c r="H62" s="1" t="s">
        <v>31</v>
      </c>
      <c r="I62" s="1" t="s">
        <v>22</v>
      </c>
      <c r="J62" s="1" t="s">
        <v>15</v>
      </c>
      <c r="K62" s="2">
        <v>45179</v>
      </c>
      <c r="L62" s="2"/>
      <c r="M62" s="2"/>
      <c r="N62" t="str">
        <f t="shared" si="0"/>
        <v>no</v>
      </c>
      <c r="O62" t="str">
        <f>_xlfn.XLOOKUP(C62,'Product Master'!$A$1:$A$23,'Product Master'!$C$1:$C$23)</f>
        <v>Books</v>
      </c>
      <c r="P62" t="str">
        <f t="shared" si="1"/>
        <v>na</v>
      </c>
      <c r="Q62" t="str">
        <f>IFERROR(_xlfn.XLOOKUP(B62,'Customer Master'!$A$1:$A$50,'Customer Master'!$B$1:$B$50),"not found")</f>
        <v>Scarlett Adams</v>
      </c>
      <c r="R62" t="str" cm="1">
        <f t="array" ref="R62">_xlfn.IFS(P62="na","na",P62&lt;=2,"fast",P62&gt;2,"slow")</f>
        <v>na</v>
      </c>
      <c r="S62" t="str">
        <f>_xlfn.XLOOKUP(C62,'Product Master'!$A$1:$A$23,'Product Master'!$B$1:$B$23)</f>
        <v>Textbook</v>
      </c>
    </row>
    <row r="63" spans="1:19" x14ac:dyDescent="0.2">
      <c r="A63" s="1" t="s">
        <v>148</v>
      </c>
      <c r="B63" s="1" t="s">
        <v>149</v>
      </c>
      <c r="C63" s="1" t="s">
        <v>43</v>
      </c>
      <c r="D63" s="1" t="s">
        <v>12</v>
      </c>
      <c r="E63" s="1">
        <v>815</v>
      </c>
      <c r="F63" s="1">
        <v>4</v>
      </c>
      <c r="G63" s="1">
        <v>3260</v>
      </c>
      <c r="H63" s="1" t="s">
        <v>18</v>
      </c>
      <c r="I63" s="1" t="s">
        <v>19</v>
      </c>
      <c r="J63" s="1" t="s">
        <v>23</v>
      </c>
      <c r="K63" s="2">
        <v>45252</v>
      </c>
      <c r="L63" s="2">
        <v>45259</v>
      </c>
      <c r="M63" s="2"/>
      <c r="N63" t="str">
        <f t="shared" si="0"/>
        <v>no</v>
      </c>
      <c r="O63" t="str">
        <f>_xlfn.XLOOKUP(C63,'Product Master'!$A$1:$A$23,'Product Master'!$C$1:$C$23)</f>
        <v>Electronics</v>
      </c>
      <c r="P63">
        <f t="shared" si="1"/>
        <v>7</v>
      </c>
      <c r="Q63" t="str">
        <f>IFERROR(_xlfn.XLOOKUP(B63,'Customer Master'!$A$1:$A$50,'Customer Master'!$B$1:$B$50),"not found")</f>
        <v>Elijah Lewis</v>
      </c>
      <c r="R63" t="str" cm="1">
        <f t="array" ref="R63">_xlfn.IFS(P63="na","na",P63&lt;=2,"fast",P63&gt;2,"slow")</f>
        <v>slow</v>
      </c>
      <c r="S63" t="str">
        <f>_xlfn.XLOOKUP(C63,'Product Master'!$A$1:$A$23,'Product Master'!$B$1:$B$23)</f>
        <v>Smartphone</v>
      </c>
    </row>
    <row r="64" spans="1:19" x14ac:dyDescent="0.2">
      <c r="A64" s="1" t="s">
        <v>150</v>
      </c>
      <c r="B64" s="1" t="s">
        <v>151</v>
      </c>
      <c r="C64" s="1" t="s">
        <v>40</v>
      </c>
      <c r="D64" s="1" t="s">
        <v>17</v>
      </c>
      <c r="E64" s="1">
        <v>27</v>
      </c>
      <c r="F64" s="1">
        <v>1</v>
      </c>
      <c r="G64" s="1">
        <v>27</v>
      </c>
      <c r="H64" s="1" t="s">
        <v>31</v>
      </c>
      <c r="I64" s="1" t="s">
        <v>22</v>
      </c>
      <c r="J64" s="1" t="s">
        <v>27</v>
      </c>
      <c r="K64" s="2">
        <v>45048</v>
      </c>
      <c r="L64" s="2"/>
      <c r="M64" s="2"/>
      <c r="N64" t="str">
        <f t="shared" si="0"/>
        <v>no</v>
      </c>
      <c r="O64" t="str">
        <f>_xlfn.XLOOKUP(C64,'Product Master'!$A$1:$A$23,'Product Master'!$C$1:$C$23)</f>
        <v>Fashion</v>
      </c>
      <c r="P64" t="str">
        <f t="shared" si="1"/>
        <v>na</v>
      </c>
      <c r="Q64" t="str">
        <f>IFERROR(_xlfn.XLOOKUP(B64,'Customer Master'!$A$1:$A$50,'Customer Master'!$B$1:$B$50),"not found")</f>
        <v>Noah Wilson</v>
      </c>
      <c r="R64" t="str" cm="1">
        <f t="array" ref="R64">_xlfn.IFS(P64="na","na",P64&lt;=2,"fast",P64&gt;2,"slow")</f>
        <v>na</v>
      </c>
      <c r="S64" t="str">
        <f>_xlfn.XLOOKUP(C64,'Product Master'!$A$1:$A$23,'Product Master'!$B$1:$B$23)</f>
        <v>T-Shirt</v>
      </c>
    </row>
    <row r="65" spans="1:19" x14ac:dyDescent="0.2">
      <c r="A65" s="1" t="s">
        <v>152</v>
      </c>
      <c r="B65" s="1" t="s">
        <v>153</v>
      </c>
      <c r="C65" s="1" t="s">
        <v>35</v>
      </c>
      <c r="D65" s="1" t="s">
        <v>33</v>
      </c>
      <c r="E65" s="1">
        <v>139</v>
      </c>
      <c r="F65" s="1">
        <v>5</v>
      </c>
      <c r="G65" s="1">
        <v>695</v>
      </c>
      <c r="H65" s="1" t="s">
        <v>13</v>
      </c>
      <c r="I65" s="1" t="s">
        <v>19</v>
      </c>
      <c r="J65" s="1" t="s">
        <v>23</v>
      </c>
      <c r="K65" s="2">
        <v>45285</v>
      </c>
      <c r="L65" s="2">
        <v>45289</v>
      </c>
      <c r="M65" s="2"/>
      <c r="N65" t="str">
        <f t="shared" si="0"/>
        <v>no</v>
      </c>
      <c r="O65" t="str">
        <f>_xlfn.XLOOKUP(C65,'Product Master'!$A$1:$A$23,'Product Master'!$C$1:$C$23)</f>
        <v>Home</v>
      </c>
      <c r="P65">
        <f t="shared" si="1"/>
        <v>4</v>
      </c>
      <c r="Q65" t="str">
        <f>IFERROR(_xlfn.XLOOKUP(B65,'Customer Master'!$A$1:$A$50,'Customer Master'!$B$1:$B$50),"not found")</f>
        <v>Noah Wilson</v>
      </c>
      <c r="R65" t="str" cm="1">
        <f t="array" ref="R65">_xlfn.IFS(P65="na","na",P65&lt;=2,"fast",P65&gt;2,"slow")</f>
        <v>slow</v>
      </c>
      <c r="S65" t="str">
        <f>_xlfn.XLOOKUP(C65,'Product Master'!$A$1:$A$23,'Product Master'!$B$1:$B$23)</f>
        <v>Cookware Set</v>
      </c>
    </row>
    <row r="66" spans="1:19" x14ac:dyDescent="0.2">
      <c r="A66" s="1" t="s">
        <v>154</v>
      </c>
      <c r="B66" s="1" t="s">
        <v>64</v>
      </c>
      <c r="C66" s="1" t="s">
        <v>42</v>
      </c>
      <c r="D66" s="1" t="s">
        <v>21</v>
      </c>
      <c r="E66" s="1">
        <v>69</v>
      </c>
      <c r="F66" s="1">
        <v>3</v>
      </c>
      <c r="G66" s="1">
        <v>207</v>
      </c>
      <c r="H66" s="1" t="s">
        <v>24</v>
      </c>
      <c r="I66" s="1" t="s">
        <v>14</v>
      </c>
      <c r="J66" s="1" t="s">
        <v>27</v>
      </c>
      <c r="K66" s="2">
        <v>45217</v>
      </c>
      <c r="L66" s="2"/>
      <c r="M66" s="2">
        <v>45219</v>
      </c>
      <c r="N66" t="str">
        <f t="shared" si="0"/>
        <v>yes</v>
      </c>
      <c r="O66" t="str">
        <f>_xlfn.XLOOKUP(C66,'Product Master'!$A$1:$A$23,'Product Master'!$C$1:$C$23)</f>
        <v>Books</v>
      </c>
      <c r="P66" t="str">
        <f t="shared" si="1"/>
        <v>na</v>
      </c>
      <c r="Q66" t="str">
        <f>IFERROR(_xlfn.XLOOKUP(B66,'Customer Master'!$A$1:$A$50,'Customer Master'!$B$1:$B$50),"not found")</f>
        <v>Jackson Allen</v>
      </c>
      <c r="R66" t="str" cm="1">
        <f t="array" ref="R66">_xlfn.IFS(P66="na","na",P66&lt;=2,"fast",P66&gt;2,"slow")</f>
        <v>na</v>
      </c>
      <c r="S66" t="str">
        <f>_xlfn.XLOOKUP(C66,'Product Master'!$A$1:$A$23,'Product Master'!$B$1:$B$23)</f>
        <v>Textbook</v>
      </c>
    </row>
    <row r="67" spans="1:19" x14ac:dyDescent="0.2">
      <c r="A67" s="1" t="s">
        <v>155</v>
      </c>
      <c r="B67" s="1" t="s">
        <v>64</v>
      </c>
      <c r="C67" s="1" t="s">
        <v>34</v>
      </c>
      <c r="D67" s="1" t="s">
        <v>33</v>
      </c>
      <c r="E67" s="1">
        <v>42</v>
      </c>
      <c r="F67" s="1">
        <v>1</v>
      </c>
      <c r="G67" s="1">
        <v>42</v>
      </c>
      <c r="H67" s="1" t="s">
        <v>13</v>
      </c>
      <c r="I67" s="1" t="s">
        <v>14</v>
      </c>
      <c r="J67" s="1" t="s">
        <v>15</v>
      </c>
      <c r="K67" s="2">
        <v>45066</v>
      </c>
      <c r="L67" s="2"/>
      <c r="M67" s="2">
        <v>45067</v>
      </c>
      <c r="N67" t="str">
        <f t="shared" ref="N67:N101" si="2">IF(OR(I67="cancelled",M67&lt;&gt;""),"yes","no")</f>
        <v>yes</v>
      </c>
      <c r="O67" t="str">
        <f>_xlfn.XLOOKUP(C67,'Product Master'!$A$1:$A$23,'Product Master'!$C$1:$C$23)</f>
        <v>Fashion</v>
      </c>
      <c r="P67" t="str">
        <f t="shared" ref="P67:P101" si="3">IF(L67&lt;&gt;"",L67-K67,"na")</f>
        <v>na</v>
      </c>
      <c r="Q67" t="str">
        <f>IFERROR(_xlfn.XLOOKUP(B67,'Customer Master'!$A$1:$A$50,'Customer Master'!$B$1:$B$50),"not found")</f>
        <v>Jackson Allen</v>
      </c>
      <c r="R67" t="str" cm="1">
        <f t="array" ref="R67">_xlfn.IFS(P67="na","na",P67&lt;=2,"fast",P67&gt;2,"slow")</f>
        <v>na</v>
      </c>
      <c r="S67" t="str">
        <f>_xlfn.XLOOKUP(C67,'Product Master'!$A$1:$A$23,'Product Master'!$B$1:$B$23)</f>
        <v>Formal Shirt</v>
      </c>
    </row>
    <row r="68" spans="1:19" x14ac:dyDescent="0.2">
      <c r="A68" s="1" t="s">
        <v>156</v>
      </c>
      <c r="B68" s="1" t="s">
        <v>157</v>
      </c>
      <c r="C68" s="1" t="s">
        <v>49</v>
      </c>
      <c r="D68" s="1" t="s">
        <v>12</v>
      </c>
      <c r="E68" s="1">
        <v>31</v>
      </c>
      <c r="F68" s="1">
        <v>4</v>
      </c>
      <c r="G68" s="1">
        <v>124</v>
      </c>
      <c r="H68" s="1" t="s">
        <v>18</v>
      </c>
      <c r="I68" s="1" t="s">
        <v>19</v>
      </c>
      <c r="J68" s="1" t="s">
        <v>25</v>
      </c>
      <c r="K68" s="2">
        <v>45135</v>
      </c>
      <c r="L68" s="2">
        <v>45137</v>
      </c>
      <c r="M68" s="2"/>
      <c r="N68" t="str">
        <f t="shared" si="2"/>
        <v>no</v>
      </c>
      <c r="O68" t="str">
        <f>_xlfn.XLOOKUP(C68,'Product Master'!$A$1:$A$23,'Product Master'!$C$1:$C$23)</f>
        <v>Toys</v>
      </c>
      <c r="P68">
        <f t="shared" si="3"/>
        <v>2</v>
      </c>
      <c r="Q68" t="str">
        <f>IFERROR(_xlfn.XLOOKUP(B68,'Customer Master'!$A$1:$A$50,'Customer Master'!$B$1:$B$50),"not found")</f>
        <v>not found</v>
      </c>
      <c r="R68" t="str" cm="1">
        <f t="array" ref="R68">_xlfn.IFS(P68="na","na",P68&lt;=2,"fast",P68&gt;2,"slow")</f>
        <v>fast</v>
      </c>
      <c r="S68" t="str">
        <f>_xlfn.XLOOKUP(C68,'Product Master'!$A$1:$A$23,'Product Master'!$B$1:$B$23)</f>
        <v>Puzzle</v>
      </c>
    </row>
    <row r="69" spans="1:19" x14ac:dyDescent="0.2">
      <c r="A69" s="1" t="s">
        <v>158</v>
      </c>
      <c r="B69" s="1" t="s">
        <v>75</v>
      </c>
      <c r="C69" s="1" t="s">
        <v>29</v>
      </c>
      <c r="D69" s="1" t="s">
        <v>33</v>
      </c>
      <c r="E69" s="1">
        <v>104</v>
      </c>
      <c r="F69" s="1">
        <v>3</v>
      </c>
      <c r="G69" s="1">
        <v>312</v>
      </c>
      <c r="H69" s="1" t="s">
        <v>18</v>
      </c>
      <c r="I69" s="1" t="s">
        <v>22</v>
      </c>
      <c r="J69" s="1" t="s">
        <v>25</v>
      </c>
      <c r="K69" s="2">
        <v>45278</v>
      </c>
      <c r="L69" s="2"/>
      <c r="M69" s="2"/>
      <c r="N69" t="str">
        <f t="shared" si="2"/>
        <v>no</v>
      </c>
      <c r="O69" t="str">
        <f>_xlfn.XLOOKUP(C69,'Product Master'!$A$1:$A$23,'Product Master'!$C$1:$C$23)</f>
        <v>Electronics</v>
      </c>
      <c r="P69" t="str">
        <f t="shared" si="3"/>
        <v>na</v>
      </c>
      <c r="Q69" t="str">
        <f>IFERROR(_xlfn.XLOOKUP(B69,'Customer Master'!$A$1:$A$50,'Customer Master'!$B$1:$B$50),"not found")</f>
        <v>Emily Johnson</v>
      </c>
      <c r="R69" t="str" cm="1">
        <f t="array" ref="R69">_xlfn.IFS(P69="na","na",P69&lt;=2,"fast",P69&gt;2,"slow")</f>
        <v>na</v>
      </c>
      <c r="S69" t="str">
        <f>_xlfn.XLOOKUP(C69,'Product Master'!$A$1:$A$23,'Product Master'!$B$1:$B$23)</f>
        <v>Bluetooth Speaker</v>
      </c>
    </row>
    <row r="70" spans="1:19" x14ac:dyDescent="0.2">
      <c r="A70" s="1" t="s">
        <v>159</v>
      </c>
      <c r="B70" s="1" t="s">
        <v>60</v>
      </c>
      <c r="C70" s="1" t="s">
        <v>26</v>
      </c>
      <c r="D70" s="1" t="s">
        <v>17</v>
      </c>
      <c r="E70" s="1">
        <v>58</v>
      </c>
      <c r="F70" s="1">
        <v>2</v>
      </c>
      <c r="G70" s="1">
        <v>116</v>
      </c>
      <c r="H70" s="1" t="s">
        <v>13</v>
      </c>
      <c r="I70" s="1" t="s">
        <v>14</v>
      </c>
      <c r="J70" s="1" t="s">
        <v>23</v>
      </c>
      <c r="K70" s="2">
        <v>45109</v>
      </c>
      <c r="L70" s="2"/>
      <c r="M70" s="2">
        <v>45114</v>
      </c>
      <c r="N70" t="str">
        <f t="shared" si="2"/>
        <v>yes</v>
      </c>
      <c r="O70" t="str">
        <f>_xlfn.XLOOKUP(C70,'Product Master'!$A$1:$A$23,'Product Master'!$C$1:$C$23)</f>
        <v>Fashion</v>
      </c>
      <c r="P70" t="str">
        <f t="shared" si="3"/>
        <v>na</v>
      </c>
      <c r="Q70" t="str">
        <f>IFERROR(_xlfn.XLOOKUP(B70,'Customer Master'!$A$1:$A$50,'Customer Master'!$B$1:$B$50),"not found")</f>
        <v>Grace Ward</v>
      </c>
      <c r="R70" t="str" cm="1">
        <f t="array" ref="R70">_xlfn.IFS(P70="na","na",P70&lt;=2,"fast",P70&gt;2,"slow")</f>
        <v>na</v>
      </c>
      <c r="S70" t="str">
        <f>_xlfn.XLOOKUP(C70,'Product Master'!$A$1:$A$23,'Product Master'!$B$1:$B$23)</f>
        <v>Jeans</v>
      </c>
    </row>
    <row r="71" spans="1:19" x14ac:dyDescent="0.2">
      <c r="A71" s="1" t="s">
        <v>160</v>
      </c>
      <c r="B71" s="1" t="s">
        <v>64</v>
      </c>
      <c r="C71" s="1" t="s">
        <v>50</v>
      </c>
      <c r="D71" s="1" t="s">
        <v>33</v>
      </c>
      <c r="E71" s="1">
        <v>62</v>
      </c>
      <c r="F71" s="1">
        <v>2</v>
      </c>
      <c r="G71" s="1">
        <v>124</v>
      </c>
      <c r="H71" s="1" t="s">
        <v>31</v>
      </c>
      <c r="I71" s="1" t="s">
        <v>14</v>
      </c>
      <c r="J71" s="1" t="s">
        <v>15</v>
      </c>
      <c r="K71" s="2">
        <v>45208</v>
      </c>
      <c r="L71" s="2"/>
      <c r="M71" s="2">
        <v>45209</v>
      </c>
      <c r="N71" t="str">
        <f t="shared" si="2"/>
        <v>yes</v>
      </c>
      <c r="O71" t="str">
        <f>_xlfn.XLOOKUP(C71,'Product Master'!$A$1:$A$23,'Product Master'!$C$1:$C$23)</f>
        <v>Toys</v>
      </c>
      <c r="P71" t="str">
        <f t="shared" si="3"/>
        <v>na</v>
      </c>
      <c r="Q71" t="str">
        <f>IFERROR(_xlfn.XLOOKUP(B71,'Customer Master'!$A$1:$A$50,'Customer Master'!$B$1:$B$50),"not found")</f>
        <v>Jackson Allen</v>
      </c>
      <c r="R71" t="str" cm="1">
        <f t="array" ref="R71">_xlfn.IFS(P71="na","na",P71&lt;=2,"fast",P71&gt;2,"slow")</f>
        <v>na</v>
      </c>
      <c r="S71" t="str">
        <f>_xlfn.XLOOKUP(C71,'Product Master'!$A$1:$A$23,'Product Master'!$B$1:$B$23)</f>
        <v>Leg Set</v>
      </c>
    </row>
    <row r="72" spans="1:19" x14ac:dyDescent="0.2">
      <c r="A72" s="1" t="s">
        <v>161</v>
      </c>
      <c r="B72" s="1" t="s">
        <v>120</v>
      </c>
      <c r="C72" s="1" t="s">
        <v>34</v>
      </c>
      <c r="D72" s="1" t="s">
        <v>17</v>
      </c>
      <c r="E72" s="1">
        <v>43</v>
      </c>
      <c r="F72" s="1">
        <v>1</v>
      </c>
      <c r="G72" s="1">
        <v>43</v>
      </c>
      <c r="H72" s="1" t="s">
        <v>18</v>
      </c>
      <c r="I72" s="1" t="s">
        <v>19</v>
      </c>
      <c r="J72" s="1" t="s">
        <v>27</v>
      </c>
      <c r="K72" s="2">
        <v>45278</v>
      </c>
      <c r="L72" s="2">
        <v>45285</v>
      </c>
      <c r="M72" s="2"/>
      <c r="N72" t="str">
        <f t="shared" si="2"/>
        <v>no</v>
      </c>
      <c r="O72" t="str">
        <f>_xlfn.XLOOKUP(C72,'Product Master'!$A$1:$A$23,'Product Master'!$C$1:$C$23)</f>
        <v>Fashion</v>
      </c>
      <c r="P72">
        <f t="shared" si="3"/>
        <v>7</v>
      </c>
      <c r="Q72" t="str">
        <f>IFERROR(_xlfn.XLOOKUP(B72,'Customer Master'!$A$1:$A$50,'Customer Master'!$B$1:$B$50),"not found")</f>
        <v>Ava Robinson</v>
      </c>
      <c r="R72" t="str" cm="1">
        <f t="array" ref="R72">_xlfn.IFS(P72="na","na",P72&lt;=2,"fast",P72&gt;2,"slow")</f>
        <v>slow</v>
      </c>
      <c r="S72" t="str">
        <f>_xlfn.XLOOKUP(C72,'Product Master'!$A$1:$A$23,'Product Master'!$B$1:$B$23)</f>
        <v>Formal Shirt</v>
      </c>
    </row>
    <row r="73" spans="1:19" x14ac:dyDescent="0.2">
      <c r="A73" s="1" t="s">
        <v>162</v>
      </c>
      <c r="B73" s="1" t="s">
        <v>149</v>
      </c>
      <c r="C73" s="1" t="s">
        <v>50</v>
      </c>
      <c r="D73" s="1" t="s">
        <v>17</v>
      </c>
      <c r="E73" s="1">
        <v>62</v>
      </c>
      <c r="F73" s="1">
        <v>4</v>
      </c>
      <c r="G73" s="1">
        <v>248</v>
      </c>
      <c r="H73" s="1" t="s">
        <v>31</v>
      </c>
      <c r="I73" s="1" t="s">
        <v>22</v>
      </c>
      <c r="J73" s="1" t="s">
        <v>27</v>
      </c>
      <c r="K73" s="2">
        <v>44992</v>
      </c>
      <c r="L73" s="2"/>
      <c r="M73" s="2"/>
      <c r="N73" t="str">
        <f t="shared" si="2"/>
        <v>no</v>
      </c>
      <c r="O73" t="str">
        <f>_xlfn.XLOOKUP(C73,'Product Master'!$A$1:$A$23,'Product Master'!$C$1:$C$23)</f>
        <v>Toys</v>
      </c>
      <c r="P73" t="str">
        <f t="shared" si="3"/>
        <v>na</v>
      </c>
      <c r="Q73" t="str">
        <f>IFERROR(_xlfn.XLOOKUP(B73,'Customer Master'!$A$1:$A$50,'Customer Master'!$B$1:$B$50),"not found")</f>
        <v>Elijah Lewis</v>
      </c>
      <c r="R73" t="str" cm="1">
        <f t="array" ref="R73">_xlfn.IFS(P73="na","na",P73&lt;=2,"fast",P73&gt;2,"slow")</f>
        <v>na</v>
      </c>
      <c r="S73" t="str">
        <f>_xlfn.XLOOKUP(C73,'Product Master'!$A$1:$A$23,'Product Master'!$B$1:$B$23)</f>
        <v>Leg Set</v>
      </c>
    </row>
    <row r="74" spans="1:19" x14ac:dyDescent="0.2">
      <c r="A74" s="1" t="s">
        <v>163</v>
      </c>
      <c r="B74" s="1" t="s">
        <v>95</v>
      </c>
      <c r="C74" s="1" t="s">
        <v>38</v>
      </c>
      <c r="D74" s="1" t="s">
        <v>12</v>
      </c>
      <c r="E74" s="1">
        <v>95</v>
      </c>
      <c r="F74" s="1">
        <v>2</v>
      </c>
      <c r="G74" s="1">
        <v>190</v>
      </c>
      <c r="H74" s="1" t="s">
        <v>24</v>
      </c>
      <c r="I74" s="1" t="s">
        <v>14</v>
      </c>
      <c r="J74" s="1" t="s">
        <v>25</v>
      </c>
      <c r="K74" s="2">
        <v>45129</v>
      </c>
      <c r="L74" s="2"/>
      <c r="M74" s="2">
        <v>45132</v>
      </c>
      <c r="N74" t="str">
        <f t="shared" si="2"/>
        <v>yes</v>
      </c>
      <c r="O74" t="str">
        <f>_xlfn.XLOOKUP(C74,'Product Master'!$A$1:$A$23,'Product Master'!$C$1:$C$23)</f>
        <v>Fashion</v>
      </c>
      <c r="P74" t="str">
        <f t="shared" si="3"/>
        <v>na</v>
      </c>
      <c r="Q74" t="str">
        <f>IFERROR(_xlfn.XLOOKUP(B74,'Customer Master'!$A$1:$A$50,'Customer Master'!$B$1:$B$50),"not found")</f>
        <v>Lily Bennett</v>
      </c>
      <c r="R74" t="str" cm="1">
        <f t="array" ref="R74">_xlfn.IFS(P74="na","na",P74&lt;=2,"fast",P74&gt;2,"slow")</f>
        <v>na</v>
      </c>
      <c r="S74" t="str">
        <f>_xlfn.XLOOKUP(C74,'Product Master'!$A$1:$A$23,'Product Master'!$B$1:$B$23)</f>
        <v>Shoes</v>
      </c>
    </row>
    <row r="75" spans="1:19" x14ac:dyDescent="0.2">
      <c r="A75" s="1" t="s">
        <v>164</v>
      </c>
      <c r="B75" s="1" t="s">
        <v>93</v>
      </c>
      <c r="C75" s="1" t="s">
        <v>32</v>
      </c>
      <c r="D75" s="1" t="s">
        <v>30</v>
      </c>
      <c r="E75" s="1">
        <v>36</v>
      </c>
      <c r="F75" s="1">
        <v>4</v>
      </c>
      <c r="G75" s="1">
        <v>144</v>
      </c>
      <c r="H75" s="1" t="s">
        <v>13</v>
      </c>
      <c r="I75" s="1" t="s">
        <v>19</v>
      </c>
      <c r="J75" s="1" t="s">
        <v>37</v>
      </c>
      <c r="K75" s="2">
        <v>44944</v>
      </c>
      <c r="L75" s="2">
        <v>44950</v>
      </c>
      <c r="M75" s="2"/>
      <c r="N75" t="str">
        <f t="shared" si="2"/>
        <v>no</v>
      </c>
      <c r="O75" t="str">
        <f>_xlfn.XLOOKUP(C75,'Product Master'!$A$1:$A$23,'Product Master'!$C$1:$C$23)</f>
        <v>Home</v>
      </c>
      <c r="P75">
        <f t="shared" si="3"/>
        <v>6</v>
      </c>
      <c r="Q75" t="str">
        <f>IFERROR(_xlfn.XLOOKUP(B75,'Customer Master'!$A$1:$A$50,'Customer Master'!$B$1:$B$50),"not found")</f>
        <v>Elijah Lewis</v>
      </c>
      <c r="R75" t="str" cm="1">
        <f t="array" ref="R75">_xlfn.IFS(P75="na","na",P75&lt;=2,"fast",P75&gt;2,"slow")</f>
        <v>slow</v>
      </c>
      <c r="S75" t="str">
        <f>_xlfn.XLOOKUP(C75,'Product Master'!$A$1:$A$23,'Product Master'!$B$1:$B$23)</f>
        <v>Wall Clock</v>
      </c>
    </row>
    <row r="76" spans="1:19" x14ac:dyDescent="0.2">
      <c r="A76" s="1" t="s">
        <v>165</v>
      </c>
      <c r="B76" s="1" t="s">
        <v>66</v>
      </c>
      <c r="C76" s="1" t="s">
        <v>39</v>
      </c>
      <c r="D76" s="1" t="s">
        <v>17</v>
      </c>
      <c r="E76" s="1">
        <v>73</v>
      </c>
      <c r="F76" s="1">
        <v>5</v>
      </c>
      <c r="G76" s="1">
        <v>365</v>
      </c>
      <c r="H76" s="1" t="s">
        <v>13</v>
      </c>
      <c r="I76" s="1" t="s">
        <v>22</v>
      </c>
      <c r="J76" s="1" t="s">
        <v>15</v>
      </c>
      <c r="K76" s="2">
        <v>45070</v>
      </c>
      <c r="L76" s="2"/>
      <c r="M76" s="2"/>
      <c r="N76" t="str">
        <f t="shared" si="2"/>
        <v>no</v>
      </c>
      <c r="O76" t="str">
        <f>_xlfn.XLOOKUP(C76,'Product Master'!$A$1:$A$23,'Product Master'!$C$1:$C$23)</f>
        <v>Electronics</v>
      </c>
      <c r="P76" t="str">
        <f t="shared" si="3"/>
        <v>na</v>
      </c>
      <c r="Q76" t="str">
        <f>IFERROR(_xlfn.XLOOKUP(B76,'Customer Master'!$A$1:$A$50,'Customer Master'!$B$1:$B$50),"not found")</f>
        <v>Noah Wilson</v>
      </c>
      <c r="R76" t="str" cm="1">
        <f t="array" ref="R76">_xlfn.IFS(P76="na","na",P76&lt;=2,"fast",P76&gt;2,"slow")</f>
        <v>na</v>
      </c>
      <c r="S76" t="str">
        <f>_xlfn.XLOOKUP(C76,'Product Master'!$A$1:$A$23,'Product Master'!$B$1:$B$23)</f>
        <v>Gaming Mouse</v>
      </c>
    </row>
    <row r="77" spans="1:19" x14ac:dyDescent="0.2">
      <c r="A77" s="1" t="s">
        <v>166</v>
      </c>
      <c r="B77" s="1" t="s">
        <v>77</v>
      </c>
      <c r="C77" s="1" t="s">
        <v>34</v>
      </c>
      <c r="D77" s="1" t="s">
        <v>12</v>
      </c>
      <c r="E77" s="1">
        <v>43</v>
      </c>
      <c r="F77" s="1">
        <v>4</v>
      </c>
      <c r="G77" s="1">
        <v>172</v>
      </c>
      <c r="H77" s="1" t="s">
        <v>31</v>
      </c>
      <c r="I77" s="1" t="s">
        <v>19</v>
      </c>
      <c r="J77" s="1" t="s">
        <v>15</v>
      </c>
      <c r="K77" s="2">
        <v>45172</v>
      </c>
      <c r="L77" s="2">
        <v>45178</v>
      </c>
      <c r="M77" s="2"/>
      <c r="N77" t="str">
        <f t="shared" si="2"/>
        <v>no</v>
      </c>
      <c r="O77" t="str">
        <f>_xlfn.XLOOKUP(C77,'Product Master'!$A$1:$A$23,'Product Master'!$C$1:$C$23)</f>
        <v>Fashion</v>
      </c>
      <c r="P77">
        <f t="shared" si="3"/>
        <v>6</v>
      </c>
      <c r="Q77" t="str">
        <f>IFERROR(_xlfn.XLOOKUP(B77,'Customer Master'!$A$1:$A$50,'Customer Master'!$B$1:$B$50),"not found")</f>
        <v>Charlotte Reed</v>
      </c>
      <c r="R77" t="str" cm="1">
        <f t="array" ref="R77">_xlfn.IFS(P77="na","na",P77&lt;=2,"fast",P77&gt;2,"slow")</f>
        <v>slow</v>
      </c>
      <c r="S77" t="str">
        <f>_xlfn.XLOOKUP(C77,'Product Master'!$A$1:$A$23,'Product Master'!$B$1:$B$23)</f>
        <v>Formal Shirt</v>
      </c>
    </row>
    <row r="78" spans="1:19" x14ac:dyDescent="0.2">
      <c r="A78" s="1" t="s">
        <v>167</v>
      </c>
      <c r="B78" s="1" t="s">
        <v>151</v>
      </c>
      <c r="C78" s="1" t="s">
        <v>48</v>
      </c>
      <c r="D78" s="1" t="s">
        <v>33</v>
      </c>
      <c r="E78" s="1">
        <v>214</v>
      </c>
      <c r="F78" s="1">
        <v>5</v>
      </c>
      <c r="G78" s="1">
        <v>1070</v>
      </c>
      <c r="H78" s="1" t="s">
        <v>31</v>
      </c>
      <c r="I78" s="1" t="s">
        <v>19</v>
      </c>
      <c r="J78" s="1" t="s">
        <v>25</v>
      </c>
      <c r="K78" s="2">
        <v>45232</v>
      </c>
      <c r="L78" s="2">
        <v>45234</v>
      </c>
      <c r="M78" s="2"/>
      <c r="N78" t="str">
        <f t="shared" si="2"/>
        <v>no</v>
      </c>
      <c r="O78" t="str">
        <f>_xlfn.XLOOKUP(C78,'Product Master'!$A$1:$A$23,'Product Master'!$C$1:$C$23)</f>
        <v>Home</v>
      </c>
      <c r="P78">
        <f t="shared" si="3"/>
        <v>2</v>
      </c>
      <c r="Q78" t="str">
        <f>IFERROR(_xlfn.XLOOKUP(B78,'Customer Master'!$A$1:$A$50,'Customer Master'!$B$1:$B$50),"not found")</f>
        <v>Noah Wilson</v>
      </c>
      <c r="R78" t="str" cm="1">
        <f t="array" ref="R78">_xlfn.IFS(P78="na","na",P78&lt;=2,"fast",P78&gt;2,"slow")</f>
        <v>fast</v>
      </c>
      <c r="S78" t="str">
        <f>_xlfn.XLOOKUP(C78,'Product Master'!$A$1:$A$23,'Product Master'!$B$1:$B$23)</f>
        <v>Cookware Set Pro</v>
      </c>
    </row>
    <row r="79" spans="1:19" x14ac:dyDescent="0.2">
      <c r="A79" s="1" t="s">
        <v>168</v>
      </c>
      <c r="B79" s="1" t="s">
        <v>153</v>
      </c>
      <c r="C79" s="1" t="s">
        <v>44</v>
      </c>
      <c r="D79" s="1" t="s">
        <v>30</v>
      </c>
      <c r="E79" s="1">
        <v>42</v>
      </c>
      <c r="F79" s="1">
        <v>2</v>
      </c>
      <c r="G79" s="1">
        <v>84</v>
      </c>
      <c r="H79" s="1" t="s">
        <v>13</v>
      </c>
      <c r="I79" s="1" t="s">
        <v>14</v>
      </c>
      <c r="J79" s="1" t="s">
        <v>25</v>
      </c>
      <c r="K79" s="2">
        <v>45263</v>
      </c>
      <c r="L79" s="2"/>
      <c r="M79" s="2">
        <v>45266</v>
      </c>
      <c r="N79" t="str">
        <f t="shared" si="2"/>
        <v>yes</v>
      </c>
      <c r="O79" t="str">
        <f>_xlfn.XLOOKUP(C79,'Product Master'!$A$1:$A$23,'Product Master'!$C$1:$C$23)</f>
        <v>Toys</v>
      </c>
      <c r="P79" t="str">
        <f t="shared" si="3"/>
        <v>na</v>
      </c>
      <c r="Q79" t="str">
        <f>IFERROR(_xlfn.XLOOKUP(B79,'Customer Master'!$A$1:$A$50,'Customer Master'!$B$1:$B$50),"not found")</f>
        <v>Noah Wilson</v>
      </c>
      <c r="R79" t="str" cm="1">
        <f t="array" ref="R79">_xlfn.IFS(P79="na","na",P79&lt;=2,"fast",P79&gt;2,"slow")</f>
        <v>na</v>
      </c>
      <c r="S79" t="str">
        <f>_xlfn.XLOOKUP(C79,'Product Master'!$A$1:$A$23,'Product Master'!$B$1:$B$23)</f>
        <v>Action Figure</v>
      </c>
    </row>
    <row r="80" spans="1:19" x14ac:dyDescent="0.2">
      <c r="A80" s="1" t="s">
        <v>169</v>
      </c>
      <c r="B80" s="1" t="s">
        <v>153</v>
      </c>
      <c r="C80" s="1" t="s">
        <v>11</v>
      </c>
      <c r="D80" s="1" t="s">
        <v>12</v>
      </c>
      <c r="E80" s="1">
        <v>46</v>
      </c>
      <c r="F80" s="1">
        <v>1</v>
      </c>
      <c r="G80" s="1">
        <v>46</v>
      </c>
      <c r="H80" s="1" t="s">
        <v>28</v>
      </c>
      <c r="I80" s="1" t="s">
        <v>22</v>
      </c>
      <c r="J80" s="1" t="s">
        <v>25</v>
      </c>
      <c r="K80" s="2">
        <v>45017</v>
      </c>
      <c r="L80" s="2"/>
      <c r="M80" s="2"/>
      <c r="N80" t="str">
        <f t="shared" si="2"/>
        <v>no</v>
      </c>
      <c r="O80" t="str">
        <f>_xlfn.XLOOKUP(C80,'Product Master'!$A$1:$A$23,'Product Master'!$C$1:$C$23)</f>
        <v>Home</v>
      </c>
      <c r="P80" t="str">
        <f t="shared" si="3"/>
        <v>na</v>
      </c>
      <c r="Q80" t="str">
        <f>IFERROR(_xlfn.XLOOKUP(B80,'Customer Master'!$A$1:$A$50,'Customer Master'!$B$1:$B$50),"not found")</f>
        <v>Noah Wilson</v>
      </c>
      <c r="R80" t="str" cm="1">
        <f t="array" ref="R80">_xlfn.IFS(P80="na","na",P80&lt;=2,"fast",P80&gt;2,"slow")</f>
        <v>na</v>
      </c>
      <c r="S80" t="str">
        <f>_xlfn.XLOOKUP(C80,'Product Master'!$A$1:$A$23,'Product Master'!$B$1:$B$23)</f>
        <v>Lamp</v>
      </c>
    </row>
    <row r="81" spans="1:19" x14ac:dyDescent="0.2">
      <c r="A81" s="1" t="s">
        <v>170</v>
      </c>
      <c r="B81" s="1" t="s">
        <v>113</v>
      </c>
      <c r="C81" s="1" t="s">
        <v>16</v>
      </c>
      <c r="D81" s="1" t="s">
        <v>17</v>
      </c>
      <c r="E81" s="1">
        <v>95</v>
      </c>
      <c r="F81" s="1">
        <v>4</v>
      </c>
      <c r="G81" s="1">
        <v>380</v>
      </c>
      <c r="H81" s="1" t="s">
        <v>18</v>
      </c>
      <c r="I81" s="1" t="s">
        <v>19</v>
      </c>
      <c r="J81" s="1" t="s">
        <v>25</v>
      </c>
      <c r="K81" s="2">
        <v>45215</v>
      </c>
      <c r="L81" s="2">
        <v>45218</v>
      </c>
      <c r="M81" s="2"/>
      <c r="N81" t="str">
        <f t="shared" si="2"/>
        <v>no</v>
      </c>
      <c r="O81" t="str">
        <f>_xlfn.XLOOKUP(C81,'Product Master'!$A$1:$A$23,'Product Master'!$C$1:$C$23)</f>
        <v>Toys</v>
      </c>
      <c r="P81">
        <f t="shared" si="3"/>
        <v>3</v>
      </c>
      <c r="Q81" t="str">
        <f>IFERROR(_xlfn.XLOOKUP(B81,'Customer Master'!$A$1:$A$50,'Customer Master'!$B$1:$B$50),"not found")</f>
        <v>Luke Gray</v>
      </c>
      <c r="R81" t="str" cm="1">
        <f t="array" ref="R81">_xlfn.IFS(P81="na","na",P81&lt;=2,"fast",P81&gt;2,"slow")</f>
        <v>slow</v>
      </c>
      <c r="S81" t="str">
        <f>_xlfn.XLOOKUP(C81,'Product Master'!$A$1:$A$23,'Product Master'!$B$1:$B$23)</f>
        <v>Doll House</v>
      </c>
    </row>
    <row r="82" spans="1:19" x14ac:dyDescent="0.2">
      <c r="A82" s="1" t="s">
        <v>171</v>
      </c>
      <c r="B82" s="1" t="s">
        <v>122</v>
      </c>
      <c r="C82" s="1" t="s">
        <v>47</v>
      </c>
      <c r="D82" s="1" t="s">
        <v>33</v>
      </c>
      <c r="E82" s="1">
        <v>174</v>
      </c>
      <c r="F82" s="1">
        <v>2</v>
      </c>
      <c r="G82" s="1">
        <v>348</v>
      </c>
      <c r="H82" s="1" t="s">
        <v>24</v>
      </c>
      <c r="I82" s="1" t="s">
        <v>22</v>
      </c>
      <c r="J82" s="1" t="s">
        <v>25</v>
      </c>
      <c r="K82" s="2">
        <v>45235</v>
      </c>
      <c r="L82" s="2"/>
      <c r="M82" s="2"/>
      <c r="N82" t="str">
        <f t="shared" si="2"/>
        <v>no</v>
      </c>
      <c r="O82" t="str">
        <f>_xlfn.XLOOKUP(C82,'Product Master'!$A$1:$A$23,'Product Master'!$C$1:$C$23)</f>
        <v>Electronics</v>
      </c>
      <c r="P82" t="str">
        <f t="shared" si="3"/>
        <v>na</v>
      </c>
      <c r="Q82" t="str">
        <f>IFERROR(_xlfn.XLOOKUP(B82,'Customer Master'!$A$1:$A$50,'Customer Master'!$B$1:$B$50),"not found")</f>
        <v>James Miller</v>
      </c>
      <c r="R82" t="str" cm="1">
        <f t="array" ref="R82">_xlfn.IFS(P82="na","na",P82&lt;=2,"fast",P82&gt;2,"slow")</f>
        <v>na</v>
      </c>
      <c r="S82" t="str">
        <f>_xlfn.XLOOKUP(C82,'Product Master'!$A$1:$A$23,'Product Master'!$B$1:$B$23)</f>
        <v>Headphones</v>
      </c>
    </row>
    <row r="83" spans="1:19" x14ac:dyDescent="0.2">
      <c r="A83" s="1" t="s">
        <v>172</v>
      </c>
      <c r="B83" s="1" t="s">
        <v>73</v>
      </c>
      <c r="C83" s="1" t="s">
        <v>40</v>
      </c>
      <c r="D83" s="1" t="s">
        <v>12</v>
      </c>
      <c r="E83" s="1">
        <v>27</v>
      </c>
      <c r="F83" s="1">
        <v>5</v>
      </c>
      <c r="G83" s="1">
        <v>135</v>
      </c>
      <c r="H83" s="1" t="s">
        <v>18</v>
      </c>
      <c r="I83" s="1" t="s">
        <v>14</v>
      </c>
      <c r="J83" s="1" t="s">
        <v>27</v>
      </c>
      <c r="K83" s="2">
        <v>45092</v>
      </c>
      <c r="L83" s="2"/>
      <c r="M83" s="2">
        <v>45095</v>
      </c>
      <c r="N83" t="str">
        <f t="shared" si="2"/>
        <v>yes</v>
      </c>
      <c r="O83" t="str">
        <f>_xlfn.XLOOKUP(C83,'Product Master'!$A$1:$A$23,'Product Master'!$C$1:$C$23)</f>
        <v>Fashion</v>
      </c>
      <c r="P83" t="str">
        <f t="shared" si="3"/>
        <v>na</v>
      </c>
      <c r="Q83" t="str">
        <f>IFERROR(_xlfn.XLOOKUP(B83,'Customer Master'!$A$1:$A$50,'Customer Master'!$B$1:$B$50),"not found")</f>
        <v>Emily Johnson</v>
      </c>
      <c r="R83" t="str" cm="1">
        <f t="array" ref="R83">_xlfn.IFS(P83="na","na",P83&lt;=2,"fast",P83&gt;2,"slow")</f>
        <v>na</v>
      </c>
      <c r="S83" t="str">
        <f>_xlfn.XLOOKUP(C83,'Product Master'!$A$1:$A$23,'Product Master'!$B$1:$B$23)</f>
        <v>T-Shirt</v>
      </c>
    </row>
    <row r="84" spans="1:19" x14ac:dyDescent="0.2">
      <c r="A84" s="1" t="s">
        <v>173</v>
      </c>
      <c r="B84" s="1" t="s">
        <v>55</v>
      </c>
      <c r="C84" s="1" t="s">
        <v>40</v>
      </c>
      <c r="D84" s="1" t="s">
        <v>21</v>
      </c>
      <c r="E84" s="1">
        <v>27</v>
      </c>
      <c r="F84" s="1">
        <v>4</v>
      </c>
      <c r="G84" s="1">
        <v>108</v>
      </c>
      <c r="H84" s="1" t="s">
        <v>24</v>
      </c>
      <c r="I84" s="1" t="s">
        <v>19</v>
      </c>
      <c r="J84" s="1" t="s">
        <v>23</v>
      </c>
      <c r="K84" s="2">
        <v>45227</v>
      </c>
      <c r="L84" s="2">
        <v>45229</v>
      </c>
      <c r="M84" s="2"/>
      <c r="N84" t="str">
        <f t="shared" si="2"/>
        <v>no</v>
      </c>
      <c r="O84" t="str">
        <f>_xlfn.XLOOKUP(C84,'Product Master'!$A$1:$A$23,'Product Master'!$C$1:$C$23)</f>
        <v>Fashion</v>
      </c>
      <c r="P84">
        <f t="shared" si="3"/>
        <v>2</v>
      </c>
      <c r="Q84" t="str">
        <f>IFERROR(_xlfn.XLOOKUP(B84,'Customer Master'!$A$1:$A$50,'Customer Master'!$B$1:$B$50),"not found")</f>
        <v>Zoe Mitchell</v>
      </c>
      <c r="R84" t="str" cm="1">
        <f t="array" ref="R84">_xlfn.IFS(P84="na","na",P84&lt;=2,"fast",P84&gt;2,"slow")</f>
        <v>fast</v>
      </c>
      <c r="S84" t="str">
        <f>_xlfn.XLOOKUP(C84,'Product Master'!$A$1:$A$23,'Product Master'!$B$1:$B$23)</f>
        <v>T-Shirt</v>
      </c>
    </row>
    <row r="85" spans="1:19" x14ac:dyDescent="0.2">
      <c r="A85" s="1" t="s">
        <v>174</v>
      </c>
      <c r="B85" s="1" t="s">
        <v>175</v>
      </c>
      <c r="C85" s="1" t="s">
        <v>45</v>
      </c>
      <c r="D85" s="1" t="s">
        <v>21</v>
      </c>
      <c r="E85" s="1">
        <v>65</v>
      </c>
      <c r="F85" s="1">
        <v>2</v>
      </c>
      <c r="G85" s="1">
        <v>130</v>
      </c>
      <c r="H85" s="1" t="s">
        <v>24</v>
      </c>
      <c r="I85" s="1" t="s">
        <v>22</v>
      </c>
      <c r="J85" s="1" t="s">
        <v>15</v>
      </c>
      <c r="K85" s="2">
        <v>45282</v>
      </c>
      <c r="L85" s="2"/>
      <c r="M85" s="2"/>
      <c r="N85" t="str">
        <f t="shared" si="2"/>
        <v>no</v>
      </c>
      <c r="O85" t="str">
        <f>_xlfn.XLOOKUP(C85,'Product Master'!$A$1:$A$23,'Product Master'!$C$1:$C$23)</f>
        <v>Fashion</v>
      </c>
      <c r="P85" t="str">
        <f t="shared" si="3"/>
        <v>na</v>
      </c>
      <c r="Q85" t="str">
        <f>IFERROR(_xlfn.XLOOKUP(B85,'Customer Master'!$A$1:$A$50,'Customer Master'!$B$1:$B$50),"not found")</f>
        <v>Ava White</v>
      </c>
      <c r="R85" t="str" cm="1">
        <f t="array" ref="R85">_xlfn.IFS(P85="na","na",P85&lt;=2,"fast",P85&gt;2,"slow")</f>
        <v>na</v>
      </c>
      <c r="S85" t="str">
        <f>_xlfn.XLOOKUP(C85,'Product Master'!$A$1:$A$23,'Product Master'!$B$1:$B$23)</f>
        <v>Backpack</v>
      </c>
    </row>
    <row r="86" spans="1:19" x14ac:dyDescent="0.2">
      <c r="A86" s="1" t="s">
        <v>176</v>
      </c>
      <c r="B86" s="1" t="s">
        <v>75</v>
      </c>
      <c r="C86" s="1" t="s">
        <v>34</v>
      </c>
      <c r="D86" s="1" t="s">
        <v>17</v>
      </c>
      <c r="E86" s="1">
        <v>43</v>
      </c>
      <c r="F86" s="1">
        <v>5</v>
      </c>
      <c r="G86" s="1">
        <v>215</v>
      </c>
      <c r="H86" s="1" t="s">
        <v>31</v>
      </c>
      <c r="I86" s="1" t="s">
        <v>22</v>
      </c>
      <c r="J86" s="1" t="s">
        <v>15</v>
      </c>
      <c r="K86" s="2">
        <v>44992</v>
      </c>
      <c r="L86" s="2"/>
      <c r="M86" s="2"/>
      <c r="N86" t="str">
        <f t="shared" si="2"/>
        <v>no</v>
      </c>
      <c r="O86" t="str">
        <f>_xlfn.XLOOKUP(C86,'Product Master'!$A$1:$A$23,'Product Master'!$C$1:$C$23)</f>
        <v>Fashion</v>
      </c>
      <c r="P86" t="str">
        <f t="shared" si="3"/>
        <v>na</v>
      </c>
      <c r="Q86" t="str">
        <f>IFERROR(_xlfn.XLOOKUP(B86,'Customer Master'!$A$1:$A$50,'Customer Master'!$B$1:$B$50),"not found")</f>
        <v>Emily Johnson</v>
      </c>
      <c r="R86" t="str" cm="1">
        <f t="array" ref="R86">_xlfn.IFS(P86="na","na",P86&lt;=2,"fast",P86&gt;2,"slow")</f>
        <v>na</v>
      </c>
      <c r="S86" t="str">
        <f>_xlfn.XLOOKUP(C86,'Product Master'!$A$1:$A$23,'Product Master'!$B$1:$B$23)</f>
        <v>Formal Shirt</v>
      </c>
    </row>
    <row r="87" spans="1:19" x14ac:dyDescent="0.2">
      <c r="A87" s="1" t="s">
        <v>177</v>
      </c>
      <c r="B87" s="1" t="s">
        <v>103</v>
      </c>
      <c r="C87" s="1" t="s">
        <v>48</v>
      </c>
      <c r="D87" s="1" t="s">
        <v>33</v>
      </c>
      <c r="E87" s="1">
        <v>210</v>
      </c>
      <c r="F87" s="1">
        <v>1</v>
      </c>
      <c r="G87" s="1">
        <v>210</v>
      </c>
      <c r="H87" s="1" t="s">
        <v>24</v>
      </c>
      <c r="I87" s="1" t="s">
        <v>22</v>
      </c>
      <c r="J87" s="1" t="s">
        <v>25</v>
      </c>
      <c r="K87" s="2">
        <v>45240</v>
      </c>
      <c r="L87" s="2"/>
      <c r="M87" s="2"/>
      <c r="N87" t="str">
        <f t="shared" si="2"/>
        <v>no</v>
      </c>
      <c r="O87" t="str">
        <f>_xlfn.XLOOKUP(C87,'Product Master'!$A$1:$A$23,'Product Master'!$C$1:$C$23)</f>
        <v>Home</v>
      </c>
      <c r="P87" t="str">
        <f t="shared" si="3"/>
        <v>na</v>
      </c>
      <c r="Q87" t="str">
        <f>IFERROR(_xlfn.XLOOKUP(B87,'Customer Master'!$A$1:$A$50,'Customer Master'!$B$1:$B$50),"not found")</f>
        <v>Liam Walker</v>
      </c>
      <c r="R87" t="str" cm="1">
        <f t="array" ref="R87">_xlfn.IFS(P87="na","na",P87&lt;=2,"fast",P87&gt;2,"slow")</f>
        <v>na</v>
      </c>
      <c r="S87" t="str">
        <f>_xlfn.XLOOKUP(C87,'Product Master'!$A$1:$A$23,'Product Master'!$B$1:$B$23)</f>
        <v>Cookware Set Pro</v>
      </c>
    </row>
    <row r="88" spans="1:19" x14ac:dyDescent="0.2">
      <c r="A88" s="1" t="s">
        <v>178</v>
      </c>
      <c r="B88" s="1" t="s">
        <v>179</v>
      </c>
      <c r="C88" s="1" t="s">
        <v>32</v>
      </c>
      <c r="D88" s="1" t="s">
        <v>21</v>
      </c>
      <c r="E88" s="1">
        <v>37</v>
      </c>
      <c r="F88" s="1">
        <v>3</v>
      </c>
      <c r="G88" s="1">
        <v>111</v>
      </c>
      <c r="H88" s="1" t="s">
        <v>18</v>
      </c>
      <c r="I88" s="1" t="s">
        <v>22</v>
      </c>
      <c r="J88" s="1" t="s">
        <v>25</v>
      </c>
      <c r="K88" s="2">
        <v>45252</v>
      </c>
      <c r="L88" s="2"/>
      <c r="M88" s="2"/>
      <c r="N88" t="str">
        <f t="shared" si="2"/>
        <v>no</v>
      </c>
      <c r="O88" t="str">
        <f>_xlfn.XLOOKUP(C88,'Product Master'!$A$1:$A$23,'Product Master'!$C$1:$C$23)</f>
        <v>Home</v>
      </c>
      <c r="P88" t="str">
        <f t="shared" si="3"/>
        <v>na</v>
      </c>
      <c r="Q88" t="str">
        <f>IFERROR(_xlfn.XLOOKUP(B88,'Customer Master'!$A$1:$A$50,'Customer Master'!$B$1:$B$50),"not found")</f>
        <v>Lily Reed</v>
      </c>
      <c r="R88" t="str" cm="1">
        <f t="array" ref="R88">_xlfn.IFS(P88="na","na",P88&lt;=2,"fast",P88&gt;2,"slow")</f>
        <v>na</v>
      </c>
      <c r="S88" t="str">
        <f>_xlfn.XLOOKUP(C88,'Product Master'!$A$1:$A$23,'Product Master'!$B$1:$B$23)</f>
        <v>Wall Clock</v>
      </c>
    </row>
    <row r="89" spans="1:19" x14ac:dyDescent="0.2">
      <c r="A89" s="1" t="s">
        <v>180</v>
      </c>
      <c r="B89" s="1" t="s">
        <v>103</v>
      </c>
      <c r="C89" s="1" t="s">
        <v>43</v>
      </c>
      <c r="D89" s="1" t="s">
        <v>21</v>
      </c>
      <c r="E89" s="1">
        <v>788</v>
      </c>
      <c r="F89" s="1">
        <v>4</v>
      </c>
      <c r="G89" s="1">
        <v>3152</v>
      </c>
      <c r="H89" s="1" t="s">
        <v>31</v>
      </c>
      <c r="I89" s="1" t="s">
        <v>22</v>
      </c>
      <c r="J89" s="1" t="s">
        <v>27</v>
      </c>
      <c r="K89" s="2">
        <v>45054</v>
      </c>
      <c r="L89" s="2"/>
      <c r="M89" s="2"/>
      <c r="N89" t="str">
        <f t="shared" si="2"/>
        <v>no</v>
      </c>
      <c r="O89" t="str">
        <f>_xlfn.XLOOKUP(C89,'Product Master'!$A$1:$A$23,'Product Master'!$C$1:$C$23)</f>
        <v>Electronics</v>
      </c>
      <c r="P89" t="str">
        <f t="shared" si="3"/>
        <v>na</v>
      </c>
      <c r="Q89" t="str">
        <f>IFERROR(_xlfn.XLOOKUP(B89,'Customer Master'!$A$1:$A$50,'Customer Master'!$B$1:$B$50),"not found")</f>
        <v>Liam Walker</v>
      </c>
      <c r="R89" t="str" cm="1">
        <f t="array" ref="R89">_xlfn.IFS(P89="na","na",P89&lt;=2,"fast",P89&gt;2,"slow")</f>
        <v>na</v>
      </c>
      <c r="S89" t="str">
        <f>_xlfn.XLOOKUP(C89,'Product Master'!$A$1:$A$23,'Product Master'!$B$1:$B$23)</f>
        <v>Smartphone</v>
      </c>
    </row>
    <row r="90" spans="1:19" x14ac:dyDescent="0.2">
      <c r="A90" s="1" t="s">
        <v>181</v>
      </c>
      <c r="B90" s="1" t="s">
        <v>103</v>
      </c>
      <c r="C90" s="1" t="s">
        <v>48</v>
      </c>
      <c r="D90" s="1" t="s">
        <v>33</v>
      </c>
      <c r="E90" s="1">
        <v>217</v>
      </c>
      <c r="F90" s="1">
        <v>5</v>
      </c>
      <c r="G90" s="1">
        <v>1085</v>
      </c>
      <c r="H90" s="1" t="s">
        <v>31</v>
      </c>
      <c r="I90" s="1" t="s">
        <v>22</v>
      </c>
      <c r="J90" s="1" t="s">
        <v>37</v>
      </c>
      <c r="K90" s="2">
        <v>45120</v>
      </c>
      <c r="L90" s="2"/>
      <c r="M90" s="2"/>
      <c r="N90" t="str">
        <f t="shared" si="2"/>
        <v>no</v>
      </c>
      <c r="O90" t="str">
        <f>_xlfn.XLOOKUP(C90,'Product Master'!$A$1:$A$23,'Product Master'!$C$1:$C$23)</f>
        <v>Home</v>
      </c>
      <c r="P90" t="str">
        <f t="shared" si="3"/>
        <v>na</v>
      </c>
      <c r="Q90" t="str">
        <f>IFERROR(_xlfn.XLOOKUP(B90,'Customer Master'!$A$1:$A$50,'Customer Master'!$B$1:$B$50),"not found")</f>
        <v>Liam Walker</v>
      </c>
      <c r="R90" t="str" cm="1">
        <f t="array" ref="R90">_xlfn.IFS(P90="na","na",P90&lt;=2,"fast",P90&gt;2,"slow")</f>
        <v>na</v>
      </c>
      <c r="S90" t="str">
        <f>_xlfn.XLOOKUP(C90,'Product Master'!$A$1:$A$23,'Product Master'!$B$1:$B$23)</f>
        <v>Cookware Set Pro</v>
      </c>
    </row>
    <row r="91" spans="1:19" x14ac:dyDescent="0.2">
      <c r="A91" s="1" t="s">
        <v>182</v>
      </c>
      <c r="B91" s="1" t="s">
        <v>103</v>
      </c>
      <c r="C91" s="1" t="s">
        <v>35</v>
      </c>
      <c r="D91" s="1" t="s">
        <v>33</v>
      </c>
      <c r="E91" s="1">
        <v>138</v>
      </c>
      <c r="F91" s="1">
        <v>4</v>
      </c>
      <c r="G91" s="1">
        <v>552</v>
      </c>
      <c r="H91" s="1" t="s">
        <v>18</v>
      </c>
      <c r="I91" s="1" t="s">
        <v>22</v>
      </c>
      <c r="J91" s="1" t="s">
        <v>37</v>
      </c>
      <c r="K91" s="2">
        <v>44944</v>
      </c>
      <c r="L91" s="2"/>
      <c r="M91" s="2"/>
      <c r="N91" t="str">
        <f t="shared" si="2"/>
        <v>no</v>
      </c>
      <c r="O91" t="str">
        <f>_xlfn.XLOOKUP(C91,'Product Master'!$A$1:$A$23,'Product Master'!$C$1:$C$23)</f>
        <v>Home</v>
      </c>
      <c r="P91" t="str">
        <f t="shared" si="3"/>
        <v>na</v>
      </c>
      <c r="Q91" t="str">
        <f>IFERROR(_xlfn.XLOOKUP(B91,'Customer Master'!$A$1:$A$50,'Customer Master'!$B$1:$B$50),"not found")</f>
        <v>Liam Walker</v>
      </c>
      <c r="R91" t="str" cm="1">
        <f t="array" ref="R91">_xlfn.IFS(P91="na","na",P91&lt;=2,"fast",P91&gt;2,"slow")</f>
        <v>na</v>
      </c>
      <c r="S91" t="str">
        <f>_xlfn.XLOOKUP(C91,'Product Master'!$A$1:$A$23,'Product Master'!$B$1:$B$23)</f>
        <v>Cookware Set</v>
      </c>
    </row>
    <row r="92" spans="1:19" x14ac:dyDescent="0.2">
      <c r="A92" s="1" t="s">
        <v>183</v>
      </c>
      <c r="B92" s="1" t="s">
        <v>184</v>
      </c>
      <c r="C92" s="1" t="s">
        <v>43</v>
      </c>
      <c r="D92" s="1" t="s">
        <v>30</v>
      </c>
      <c r="E92" s="1">
        <v>803</v>
      </c>
      <c r="F92" s="1">
        <v>2</v>
      </c>
      <c r="G92" s="1">
        <v>1606</v>
      </c>
      <c r="H92" s="1" t="s">
        <v>13</v>
      </c>
      <c r="I92" s="1" t="s">
        <v>19</v>
      </c>
      <c r="J92" s="1" t="s">
        <v>37</v>
      </c>
      <c r="K92" s="2">
        <v>45100</v>
      </c>
      <c r="L92" s="2">
        <v>45106</v>
      </c>
      <c r="M92" s="2"/>
      <c r="N92" t="str">
        <f t="shared" si="2"/>
        <v>no</v>
      </c>
      <c r="O92" t="str">
        <f>_xlfn.XLOOKUP(C92,'Product Master'!$A$1:$A$23,'Product Master'!$C$1:$C$23)</f>
        <v>Electronics</v>
      </c>
      <c r="P92">
        <f t="shared" si="3"/>
        <v>6</v>
      </c>
      <c r="Q92" t="str">
        <f>IFERROR(_xlfn.XLOOKUP(B92,'Customer Master'!$A$1:$A$50,'Customer Master'!$B$1:$B$50),"not found")</f>
        <v>Mason Collins</v>
      </c>
      <c r="R92" t="str" cm="1">
        <f t="array" ref="R92">_xlfn.IFS(P92="na","na",P92&lt;=2,"fast",P92&gt;2,"slow")</f>
        <v>slow</v>
      </c>
      <c r="S92" t="str">
        <f>_xlfn.XLOOKUP(C92,'Product Master'!$A$1:$A$23,'Product Master'!$B$1:$B$23)</f>
        <v>Smartphone</v>
      </c>
    </row>
    <row r="93" spans="1:19" x14ac:dyDescent="0.2">
      <c r="A93" s="1" t="s">
        <v>185</v>
      </c>
      <c r="B93" s="1" t="s">
        <v>70</v>
      </c>
      <c r="C93" s="1" t="s">
        <v>36</v>
      </c>
      <c r="D93" s="1" t="s">
        <v>12</v>
      </c>
      <c r="E93" s="1">
        <v>248</v>
      </c>
      <c r="F93" s="1">
        <v>5</v>
      </c>
      <c r="G93" s="1">
        <v>1240</v>
      </c>
      <c r="H93" s="1" t="s">
        <v>24</v>
      </c>
      <c r="I93" s="1" t="s">
        <v>14</v>
      </c>
      <c r="J93" s="1" t="s">
        <v>25</v>
      </c>
      <c r="K93" s="2">
        <v>44978</v>
      </c>
      <c r="L93" s="2"/>
      <c r="M93" s="2">
        <v>44982</v>
      </c>
      <c r="N93" t="str">
        <f t="shared" si="2"/>
        <v>yes</v>
      </c>
      <c r="O93" t="str">
        <f>_xlfn.XLOOKUP(C93,'Product Master'!$A$1:$A$23,'Product Master'!$C$1:$C$23)</f>
        <v>Electronics</v>
      </c>
      <c r="P93" t="str">
        <f t="shared" si="3"/>
        <v>na</v>
      </c>
      <c r="Q93" t="str">
        <f>IFERROR(_xlfn.XLOOKUP(B93,'Customer Master'!$A$1:$A$50,'Customer Master'!$B$1:$B$50),"not found")</f>
        <v>Olivia Martinez</v>
      </c>
      <c r="R93" t="str" cm="1">
        <f t="array" ref="R93">_xlfn.IFS(P93="na","na",P93&lt;=2,"fast",P93&gt;2,"slow")</f>
        <v>na</v>
      </c>
      <c r="S93" t="str">
        <f>_xlfn.XLOOKUP(C93,'Product Master'!$A$1:$A$23,'Product Master'!$B$1:$B$23)</f>
        <v>Smartwatch</v>
      </c>
    </row>
    <row r="94" spans="1:19" x14ac:dyDescent="0.2">
      <c r="A94" s="1" t="s">
        <v>186</v>
      </c>
      <c r="B94" s="1" t="s">
        <v>187</v>
      </c>
      <c r="C94" s="1" t="s">
        <v>48</v>
      </c>
      <c r="D94" s="1" t="s">
        <v>17</v>
      </c>
      <c r="E94" s="1">
        <v>210</v>
      </c>
      <c r="F94" s="1">
        <v>3</v>
      </c>
      <c r="G94" s="1">
        <v>630</v>
      </c>
      <c r="H94" s="1" t="s">
        <v>13</v>
      </c>
      <c r="I94" s="1" t="s">
        <v>19</v>
      </c>
      <c r="J94" s="1" t="s">
        <v>15</v>
      </c>
      <c r="K94" s="2">
        <v>44976</v>
      </c>
      <c r="L94" s="2">
        <v>44978</v>
      </c>
      <c r="M94" s="2"/>
      <c r="N94" t="str">
        <f t="shared" si="2"/>
        <v>no</v>
      </c>
      <c r="O94" t="str">
        <f>_xlfn.XLOOKUP(C94,'Product Master'!$A$1:$A$23,'Product Master'!$C$1:$C$23)</f>
        <v>Home</v>
      </c>
      <c r="P94">
        <f t="shared" si="3"/>
        <v>2</v>
      </c>
      <c r="Q94" t="str">
        <f>IFERROR(_xlfn.XLOOKUP(B94,'Customer Master'!$A$1:$A$50,'Customer Master'!$B$1:$B$50),"not found")</f>
        <v>Ethan Davis</v>
      </c>
      <c r="R94" t="str" cm="1">
        <f t="array" ref="R94">_xlfn.IFS(P94="na","na",P94&lt;=2,"fast",P94&gt;2,"slow")</f>
        <v>fast</v>
      </c>
      <c r="S94" t="str">
        <f>_xlfn.XLOOKUP(C94,'Product Master'!$A$1:$A$23,'Product Master'!$B$1:$B$23)</f>
        <v>Cookware Set Pro</v>
      </c>
    </row>
    <row r="95" spans="1:19" x14ac:dyDescent="0.2">
      <c r="A95" s="1" t="s">
        <v>188</v>
      </c>
      <c r="B95" s="1" t="s">
        <v>70</v>
      </c>
      <c r="C95" s="1" t="s">
        <v>50</v>
      </c>
      <c r="D95" s="1" t="s">
        <v>12</v>
      </c>
      <c r="E95" s="1">
        <v>62</v>
      </c>
      <c r="F95" s="1">
        <v>2</v>
      </c>
      <c r="G95" s="1">
        <v>124</v>
      </c>
      <c r="H95" s="1" t="s">
        <v>18</v>
      </c>
      <c r="I95" s="1" t="s">
        <v>14</v>
      </c>
      <c r="J95" s="1" t="s">
        <v>37</v>
      </c>
      <c r="K95" s="2">
        <v>45265</v>
      </c>
      <c r="L95" s="2"/>
      <c r="M95" s="2">
        <v>45272</v>
      </c>
      <c r="N95" t="str">
        <f t="shared" si="2"/>
        <v>yes</v>
      </c>
      <c r="O95" t="str">
        <f>_xlfn.XLOOKUP(C95,'Product Master'!$A$1:$A$23,'Product Master'!$C$1:$C$23)</f>
        <v>Toys</v>
      </c>
      <c r="P95" t="str">
        <f t="shared" si="3"/>
        <v>na</v>
      </c>
      <c r="Q95" t="str">
        <f>IFERROR(_xlfn.XLOOKUP(B95,'Customer Master'!$A$1:$A$50,'Customer Master'!$B$1:$B$50),"not found")</f>
        <v>Olivia Martinez</v>
      </c>
      <c r="R95" t="str" cm="1">
        <f t="array" ref="R95">_xlfn.IFS(P95="na","na",P95&lt;=2,"fast",P95&gt;2,"slow")</f>
        <v>na</v>
      </c>
      <c r="S95" t="str">
        <f>_xlfn.XLOOKUP(C95,'Product Master'!$A$1:$A$23,'Product Master'!$B$1:$B$23)</f>
        <v>Leg Set</v>
      </c>
    </row>
    <row r="96" spans="1:19" x14ac:dyDescent="0.2">
      <c r="A96" s="1" t="s">
        <v>189</v>
      </c>
      <c r="B96" s="1" t="s">
        <v>179</v>
      </c>
      <c r="C96" s="1" t="s">
        <v>46</v>
      </c>
      <c r="D96" s="1" t="s">
        <v>21</v>
      </c>
      <c r="E96" s="1">
        <v>11</v>
      </c>
      <c r="F96" s="1">
        <v>5</v>
      </c>
      <c r="G96" s="1">
        <v>55</v>
      </c>
      <c r="H96" s="1" t="s">
        <v>31</v>
      </c>
      <c r="I96" s="1" t="s">
        <v>14</v>
      </c>
      <c r="J96" s="1" t="s">
        <v>27</v>
      </c>
      <c r="K96" s="2">
        <v>45084</v>
      </c>
      <c r="L96" s="2"/>
      <c r="M96" s="2">
        <v>45089</v>
      </c>
      <c r="N96" t="str">
        <f t="shared" si="2"/>
        <v>yes</v>
      </c>
      <c r="O96" t="str">
        <f>_xlfn.XLOOKUP(C96,'Product Master'!$A$1:$A$23,'Product Master'!$C$1:$C$23)</f>
        <v>Books</v>
      </c>
      <c r="P96" t="str">
        <f t="shared" si="3"/>
        <v>na</v>
      </c>
      <c r="Q96" t="str">
        <f>IFERROR(_xlfn.XLOOKUP(B96,'Customer Master'!$A$1:$A$50,'Customer Master'!$B$1:$B$50),"not found")</f>
        <v>Lily Reed</v>
      </c>
      <c r="R96" t="str" cm="1">
        <f t="array" ref="R96">_xlfn.IFS(P96="na","na",P96&lt;=2,"fast",P96&gt;2,"slow")</f>
        <v>na</v>
      </c>
      <c r="S96" t="str">
        <f>_xlfn.XLOOKUP(C96,'Product Master'!$A$1:$A$23,'Product Master'!$B$1:$B$23)</f>
        <v>Magazine</v>
      </c>
    </row>
    <row r="97" spans="1:19" x14ac:dyDescent="0.2">
      <c r="A97" s="1" t="s">
        <v>190</v>
      </c>
      <c r="B97" s="1" t="s">
        <v>140</v>
      </c>
      <c r="C97" s="1" t="s">
        <v>41</v>
      </c>
      <c r="D97" s="1" t="s">
        <v>12</v>
      </c>
      <c r="E97" s="1">
        <v>21</v>
      </c>
      <c r="F97" s="1">
        <v>2</v>
      </c>
      <c r="G97" s="1">
        <v>42</v>
      </c>
      <c r="H97" s="1" t="s">
        <v>28</v>
      </c>
      <c r="I97" s="1" t="s">
        <v>19</v>
      </c>
      <c r="J97" s="1" t="s">
        <v>25</v>
      </c>
      <c r="K97" s="2">
        <v>45116</v>
      </c>
      <c r="L97" s="2">
        <v>45119</v>
      </c>
      <c r="M97" s="2"/>
      <c r="N97" t="str">
        <f t="shared" si="2"/>
        <v>no</v>
      </c>
      <c r="O97" t="str">
        <f>_xlfn.XLOOKUP(C97,'Product Master'!$A$1:$A$23,'Product Master'!$C$1:$C$23)</f>
        <v>Books</v>
      </c>
      <c r="P97">
        <f t="shared" si="3"/>
        <v>3</v>
      </c>
      <c r="Q97" t="str">
        <f>IFERROR(_xlfn.XLOOKUP(B97,'Customer Master'!$A$1:$A$50,'Customer Master'!$B$1:$B$50),"not found")</f>
        <v>Emma King</v>
      </c>
      <c r="R97" t="str" cm="1">
        <f t="array" ref="R97">_xlfn.IFS(P97="na","na",P97&lt;=2,"fast",P97&gt;2,"slow")</f>
        <v>slow</v>
      </c>
      <c r="S97" t="str">
        <f>_xlfn.XLOOKUP(C97,'Product Master'!$A$1:$A$23,'Product Master'!$B$1:$B$23)</f>
        <v>Novel</v>
      </c>
    </row>
    <row r="98" spans="1:19" x14ac:dyDescent="0.2">
      <c r="A98" s="1" t="s">
        <v>191</v>
      </c>
      <c r="B98" s="1" t="s">
        <v>77</v>
      </c>
      <c r="C98" s="1" t="s">
        <v>16</v>
      </c>
      <c r="D98" s="1" t="s">
        <v>33</v>
      </c>
      <c r="E98" s="1">
        <v>95</v>
      </c>
      <c r="F98" s="1">
        <v>5</v>
      </c>
      <c r="G98" s="1">
        <v>475</v>
      </c>
      <c r="H98" s="1" t="s">
        <v>28</v>
      </c>
      <c r="I98" s="1" t="s">
        <v>19</v>
      </c>
      <c r="J98" s="1" t="s">
        <v>27</v>
      </c>
      <c r="K98" s="2">
        <v>45283</v>
      </c>
      <c r="L98" s="2">
        <v>45286</v>
      </c>
      <c r="M98" s="2"/>
      <c r="N98" t="str">
        <f t="shared" si="2"/>
        <v>no</v>
      </c>
      <c r="O98" t="str">
        <f>_xlfn.XLOOKUP(C98,'Product Master'!$A$1:$A$23,'Product Master'!$C$1:$C$23)</f>
        <v>Toys</v>
      </c>
      <c r="P98">
        <f t="shared" si="3"/>
        <v>3</v>
      </c>
      <c r="Q98" t="str">
        <f>IFERROR(_xlfn.XLOOKUP(B98,'Customer Master'!$A$1:$A$50,'Customer Master'!$B$1:$B$50),"not found")</f>
        <v>Charlotte Reed</v>
      </c>
      <c r="R98" t="str" cm="1">
        <f t="array" ref="R98">_xlfn.IFS(P98="na","na",P98&lt;=2,"fast",P98&gt;2,"slow")</f>
        <v>slow</v>
      </c>
      <c r="S98" t="str">
        <f>_xlfn.XLOOKUP(C98,'Product Master'!$A$1:$A$23,'Product Master'!$B$1:$B$23)</f>
        <v>Doll House</v>
      </c>
    </row>
    <row r="99" spans="1:19" x14ac:dyDescent="0.2">
      <c r="A99" s="1" t="s">
        <v>192</v>
      </c>
      <c r="B99" s="1" t="s">
        <v>60</v>
      </c>
      <c r="C99" s="1" t="s">
        <v>48</v>
      </c>
      <c r="D99" s="1" t="s">
        <v>21</v>
      </c>
      <c r="E99" s="1">
        <v>215</v>
      </c>
      <c r="F99" s="1">
        <v>2</v>
      </c>
      <c r="G99" s="1">
        <v>430</v>
      </c>
      <c r="H99" s="1" t="s">
        <v>24</v>
      </c>
      <c r="I99" s="1" t="s">
        <v>19</v>
      </c>
      <c r="J99" s="1" t="s">
        <v>27</v>
      </c>
      <c r="K99" s="2">
        <v>45194</v>
      </c>
      <c r="L99" s="2">
        <v>45199</v>
      </c>
      <c r="M99" s="2"/>
      <c r="N99" t="str">
        <f t="shared" si="2"/>
        <v>no</v>
      </c>
      <c r="O99" t="str">
        <f>_xlfn.XLOOKUP(C99,'Product Master'!$A$1:$A$23,'Product Master'!$C$1:$C$23)</f>
        <v>Home</v>
      </c>
      <c r="P99">
        <f t="shared" si="3"/>
        <v>5</v>
      </c>
      <c r="Q99" t="str">
        <f>IFERROR(_xlfn.XLOOKUP(B99,'Customer Master'!$A$1:$A$50,'Customer Master'!$B$1:$B$50),"not found")</f>
        <v>Grace Ward</v>
      </c>
      <c r="R99" t="str" cm="1">
        <f t="array" ref="R99">_xlfn.IFS(P99="na","na",P99&lt;=2,"fast",P99&gt;2,"slow")</f>
        <v>slow</v>
      </c>
      <c r="S99" t="str">
        <f>_xlfn.XLOOKUP(C99,'Product Master'!$A$1:$A$23,'Product Master'!$B$1:$B$23)</f>
        <v>Cookware Set Pro</v>
      </c>
    </row>
    <row r="100" spans="1:19" x14ac:dyDescent="0.2">
      <c r="A100" s="1" t="s">
        <v>193</v>
      </c>
      <c r="B100" s="1" t="s">
        <v>194</v>
      </c>
      <c r="C100" s="1" t="s">
        <v>34</v>
      </c>
      <c r="D100" s="1" t="s">
        <v>33</v>
      </c>
      <c r="E100" s="1">
        <v>43</v>
      </c>
      <c r="F100" s="1">
        <v>5</v>
      </c>
      <c r="G100" s="1">
        <v>215</v>
      </c>
      <c r="H100" s="1" t="s">
        <v>18</v>
      </c>
      <c r="I100" s="1" t="s">
        <v>14</v>
      </c>
      <c r="J100" s="1" t="s">
        <v>25</v>
      </c>
      <c r="K100" s="2">
        <v>44944</v>
      </c>
      <c r="L100" s="2"/>
      <c r="M100" s="2">
        <v>44950</v>
      </c>
      <c r="N100" t="str">
        <f t="shared" si="2"/>
        <v>yes</v>
      </c>
      <c r="O100" t="str">
        <f>_xlfn.XLOOKUP(C100,'Product Master'!$A$1:$A$23,'Product Master'!$C$1:$C$23)</f>
        <v>Fashion</v>
      </c>
      <c r="P100" t="str">
        <f t="shared" si="3"/>
        <v>na</v>
      </c>
      <c r="Q100" t="str">
        <f>IFERROR(_xlfn.XLOOKUP(B100,'Customer Master'!$A$1:$A$50,'Customer Master'!$B$1:$B$50),"not found")</f>
        <v>Lily Simmons</v>
      </c>
      <c r="R100" t="str" cm="1">
        <f t="array" ref="R100">_xlfn.IFS(P100="na","na",P100&lt;=2,"fast",P100&gt;2,"slow")</f>
        <v>na</v>
      </c>
      <c r="S100" t="str">
        <f>_xlfn.XLOOKUP(C100,'Product Master'!$A$1:$A$23,'Product Master'!$B$1:$B$23)</f>
        <v>Formal Shirt</v>
      </c>
    </row>
    <row r="101" spans="1:19" x14ac:dyDescent="0.2">
      <c r="A101" s="1" t="s">
        <v>195</v>
      </c>
      <c r="B101" s="1" t="s">
        <v>64</v>
      </c>
      <c r="C101" s="1" t="s">
        <v>44</v>
      </c>
      <c r="D101" s="1" t="s">
        <v>33</v>
      </c>
      <c r="E101" s="1">
        <v>42</v>
      </c>
      <c r="F101" s="1">
        <v>4</v>
      </c>
      <c r="G101" s="1">
        <v>168</v>
      </c>
      <c r="H101" s="1" t="s">
        <v>31</v>
      </c>
      <c r="I101" s="1" t="s">
        <v>22</v>
      </c>
      <c r="J101" s="1" t="s">
        <v>15</v>
      </c>
      <c r="K101" s="2">
        <v>45012</v>
      </c>
      <c r="L101" s="2"/>
      <c r="M101" s="2"/>
      <c r="N101" t="str">
        <f t="shared" si="2"/>
        <v>no</v>
      </c>
      <c r="O101" t="str">
        <f>_xlfn.XLOOKUP(C101,'Product Master'!$A$1:$A$23,'Product Master'!$C$1:$C$23)</f>
        <v>Toys</v>
      </c>
      <c r="P101" t="str">
        <f t="shared" si="3"/>
        <v>na</v>
      </c>
      <c r="Q101" t="str">
        <f>IFERROR(_xlfn.XLOOKUP(B101,'Customer Master'!$A$1:$A$50,'Customer Master'!$B$1:$B$50),"not found")</f>
        <v>Jackson Allen</v>
      </c>
      <c r="R101" t="str" cm="1">
        <f t="array" ref="R101">_xlfn.IFS(P101="na","na",P101&lt;=2,"fast",P101&gt;2,"slow")</f>
        <v>na</v>
      </c>
      <c r="S101" t="str">
        <f>_xlfn.XLOOKUP(C101,'Product Master'!$A$1:$A$23,'Product Master'!$B$1:$B$23)</f>
        <v>Action Figure</v>
      </c>
    </row>
  </sheetData>
  <conditionalFormatting sqref="R2:R101">
    <cfRule type="iconSet" priority="2">
      <iconSet iconSet="3Arrows">
        <cfvo type="percent" val="0"/>
        <cfvo type="percent" val="33"/>
        <cfvo type="percent" val="67"/>
      </iconSet>
    </cfRule>
    <cfRule type="top10" dxfId="298" priority="3" percent="1" rank="10"/>
  </conditionalFormatting>
  <conditionalFormatting sqref="T2:T101">
    <cfRule type="cellIs" dxfId="297" priority="1" operator="greaterThan">
      <formula>1</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25" x14ac:dyDescent="0.2"/>
  <cols>
    <col min="1" max="1" width="6.75" customWidth="1"/>
    <col min="2" max="2" width="10.875" customWidth="1"/>
  </cols>
  <sheetData>
    <row r="1" spans="1:2" ht="15" x14ac:dyDescent="0.2">
      <c r="A1" s="4" t="s">
        <v>1</v>
      </c>
      <c r="B1" s="4" t="s">
        <v>248</v>
      </c>
    </row>
    <row r="2" spans="1:2" ht="15" x14ac:dyDescent="0.25">
      <c r="A2" s="6" t="s">
        <v>30</v>
      </c>
      <c r="B2" s="8">
        <v>97500</v>
      </c>
    </row>
    <row r="3" spans="1:2" ht="15" x14ac:dyDescent="0.25">
      <c r="A3" s="6" t="s">
        <v>17</v>
      </c>
      <c r="B3" s="8">
        <v>50500</v>
      </c>
    </row>
    <row r="4" spans="1:2" ht="15" x14ac:dyDescent="0.25">
      <c r="A4" s="6" t="s">
        <v>12</v>
      </c>
      <c r="B4" s="8">
        <v>105000</v>
      </c>
    </row>
    <row r="5" spans="1:2" ht="15" x14ac:dyDescent="0.25">
      <c r="A5" s="6" t="s">
        <v>21</v>
      </c>
      <c r="B5" s="8">
        <v>91500</v>
      </c>
    </row>
    <row r="6" spans="1:2" ht="15" x14ac:dyDescent="0.25">
      <c r="A6" s="6" t="s">
        <v>33</v>
      </c>
      <c r="B6" s="8">
        <v>90750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I12" sqref="I12"/>
    </sheetView>
  </sheetViews>
  <sheetFormatPr defaultColWidth="8.75" defaultRowHeight="14.25" x14ac:dyDescent="0.2"/>
  <cols>
    <col min="1" max="1" width="11.25" customWidth="1"/>
    <col min="2" max="2" width="14.625" customWidth="1"/>
    <col min="3" max="3" width="13.625" customWidth="1"/>
    <col min="4" max="4" width="11.875" customWidth="1"/>
    <col min="5" max="5" width="10.625" customWidth="1"/>
  </cols>
  <sheetData>
    <row r="1" spans="1:5" ht="15" x14ac:dyDescent="0.2">
      <c r="A1" s="4" t="s">
        <v>52</v>
      </c>
      <c r="B1" s="4" t="s">
        <v>249</v>
      </c>
      <c r="C1" s="4" t="s">
        <v>250</v>
      </c>
      <c r="D1" s="4" t="s">
        <v>251</v>
      </c>
      <c r="E1" s="4" t="s">
        <v>252</v>
      </c>
    </row>
    <row r="2" spans="1:5" ht="15" x14ac:dyDescent="0.2">
      <c r="A2" s="6" t="s">
        <v>122</v>
      </c>
      <c r="B2" s="6" t="s">
        <v>253</v>
      </c>
      <c r="C2" s="6" t="s">
        <v>254</v>
      </c>
      <c r="D2" s="6" t="s">
        <v>255</v>
      </c>
      <c r="E2" s="6" t="s">
        <v>255</v>
      </c>
    </row>
    <row r="3" spans="1:5" ht="15" x14ac:dyDescent="0.2">
      <c r="A3" s="6" t="s">
        <v>256</v>
      </c>
      <c r="B3" s="6" t="s">
        <v>257</v>
      </c>
      <c r="C3" s="6" t="s">
        <v>258</v>
      </c>
      <c r="D3" s="6" t="s">
        <v>259</v>
      </c>
      <c r="E3" s="6" t="s">
        <v>260</v>
      </c>
    </row>
    <row r="4" spans="1:5" ht="15" x14ac:dyDescent="0.2">
      <c r="A4" s="6" t="s">
        <v>144</v>
      </c>
      <c r="B4" s="6" t="s">
        <v>261</v>
      </c>
      <c r="C4" s="6" t="s">
        <v>258</v>
      </c>
      <c r="D4" s="6" t="s">
        <v>262</v>
      </c>
      <c r="E4" s="6" t="s">
        <v>263</v>
      </c>
    </row>
    <row r="5" spans="1:5" ht="15" x14ac:dyDescent="0.2">
      <c r="A5" s="6" t="s">
        <v>151</v>
      </c>
      <c r="B5" s="6" t="s">
        <v>264</v>
      </c>
      <c r="C5" s="6" t="s">
        <v>258</v>
      </c>
      <c r="D5" s="6" t="s">
        <v>265</v>
      </c>
      <c r="E5" s="6" t="s">
        <v>266</v>
      </c>
    </row>
    <row r="6" spans="1:5" ht="15" x14ac:dyDescent="0.2">
      <c r="A6" s="6" t="s">
        <v>267</v>
      </c>
      <c r="B6" s="6" t="s">
        <v>268</v>
      </c>
      <c r="C6" s="6" t="s">
        <v>258</v>
      </c>
      <c r="D6" s="6" t="s">
        <v>259</v>
      </c>
      <c r="E6" s="6" t="s">
        <v>260</v>
      </c>
    </row>
    <row r="7" spans="1:5" ht="15" x14ac:dyDescent="0.2">
      <c r="A7" s="6" t="s">
        <v>120</v>
      </c>
      <c r="B7" s="6" t="s">
        <v>269</v>
      </c>
      <c r="C7" s="6" t="s">
        <v>258</v>
      </c>
      <c r="D7" s="6" t="s">
        <v>270</v>
      </c>
      <c r="E7" s="6" t="s">
        <v>271</v>
      </c>
    </row>
    <row r="8" spans="1:5" ht="15" x14ac:dyDescent="0.2">
      <c r="A8" s="6" t="s">
        <v>103</v>
      </c>
      <c r="B8" s="6" t="s">
        <v>272</v>
      </c>
      <c r="C8" s="6" t="s">
        <v>258</v>
      </c>
      <c r="D8" s="6" t="s">
        <v>265</v>
      </c>
      <c r="E8" s="6" t="s">
        <v>266</v>
      </c>
    </row>
    <row r="9" spans="1:5" ht="15" x14ac:dyDescent="0.2">
      <c r="A9" s="6" t="s">
        <v>105</v>
      </c>
      <c r="B9" s="6" t="s">
        <v>273</v>
      </c>
      <c r="C9" s="6" t="s">
        <v>254</v>
      </c>
      <c r="D9" s="6" t="s">
        <v>274</v>
      </c>
      <c r="E9" s="6" t="s">
        <v>263</v>
      </c>
    </row>
    <row r="10" spans="1:5" ht="15" x14ac:dyDescent="0.2">
      <c r="A10" s="6" t="s">
        <v>64</v>
      </c>
      <c r="B10" s="6" t="s">
        <v>275</v>
      </c>
      <c r="C10" s="6" t="s">
        <v>254</v>
      </c>
      <c r="D10" s="6" t="s">
        <v>259</v>
      </c>
      <c r="E10" s="6" t="s">
        <v>260</v>
      </c>
    </row>
    <row r="11" spans="1:5" ht="15" x14ac:dyDescent="0.2">
      <c r="A11" s="6" t="s">
        <v>276</v>
      </c>
      <c r="B11" s="6" t="s">
        <v>277</v>
      </c>
      <c r="C11" s="6" t="s">
        <v>258</v>
      </c>
      <c r="D11" s="6" t="s">
        <v>270</v>
      </c>
      <c r="E11" s="6" t="s">
        <v>271</v>
      </c>
    </row>
    <row r="12" spans="1:5" ht="15" x14ac:dyDescent="0.2">
      <c r="A12" s="6" t="s">
        <v>85</v>
      </c>
      <c r="B12" s="6" t="s">
        <v>278</v>
      </c>
      <c r="C12" s="6" t="s">
        <v>254</v>
      </c>
      <c r="D12" s="6" t="s">
        <v>279</v>
      </c>
      <c r="E12" s="6" t="s">
        <v>280</v>
      </c>
    </row>
    <row r="13" spans="1:5" ht="15" x14ac:dyDescent="0.2">
      <c r="A13" s="6" t="s">
        <v>281</v>
      </c>
      <c r="B13" s="6" t="s">
        <v>253</v>
      </c>
      <c r="C13" s="6" t="s">
        <v>282</v>
      </c>
      <c r="D13" s="6" t="s">
        <v>283</v>
      </c>
      <c r="E13" s="6" t="s">
        <v>284</v>
      </c>
    </row>
    <row r="14" spans="1:5" ht="15" x14ac:dyDescent="0.2">
      <c r="A14" s="6" t="s">
        <v>70</v>
      </c>
      <c r="B14" s="6" t="s">
        <v>268</v>
      </c>
      <c r="C14" s="6" t="s">
        <v>258</v>
      </c>
      <c r="D14" s="6" t="s">
        <v>259</v>
      </c>
      <c r="E14" s="6" t="s">
        <v>260</v>
      </c>
    </row>
    <row r="15" spans="1:5" ht="15" x14ac:dyDescent="0.2">
      <c r="A15" s="6" t="s">
        <v>107</v>
      </c>
      <c r="B15" s="6" t="s">
        <v>273</v>
      </c>
      <c r="C15" s="6" t="s">
        <v>282</v>
      </c>
      <c r="D15" s="6" t="s">
        <v>270</v>
      </c>
      <c r="E15" s="6" t="s">
        <v>271</v>
      </c>
    </row>
    <row r="16" spans="1:5" ht="15" x14ac:dyDescent="0.2">
      <c r="A16" s="6" t="s">
        <v>175</v>
      </c>
      <c r="B16" s="6" t="s">
        <v>285</v>
      </c>
      <c r="C16" s="6" t="s">
        <v>282</v>
      </c>
      <c r="D16" s="6" t="s">
        <v>283</v>
      </c>
      <c r="E16" s="6" t="s">
        <v>284</v>
      </c>
    </row>
    <row r="17" spans="1:5" ht="15" x14ac:dyDescent="0.2">
      <c r="A17" s="6" t="s">
        <v>93</v>
      </c>
      <c r="B17" s="6" t="s">
        <v>286</v>
      </c>
      <c r="C17" s="6" t="s">
        <v>258</v>
      </c>
      <c r="D17" s="6" t="s">
        <v>283</v>
      </c>
      <c r="E17" s="6" t="s">
        <v>284</v>
      </c>
    </row>
    <row r="18" spans="1:5" ht="15" x14ac:dyDescent="0.2">
      <c r="A18" s="6" t="s">
        <v>140</v>
      </c>
      <c r="B18" s="6" t="s">
        <v>287</v>
      </c>
      <c r="C18" s="6" t="s">
        <v>254</v>
      </c>
      <c r="D18" s="6" t="s">
        <v>262</v>
      </c>
      <c r="E18" s="6" t="s">
        <v>263</v>
      </c>
    </row>
    <row r="19" spans="1:5" ht="15" x14ac:dyDescent="0.2">
      <c r="A19" s="6" t="s">
        <v>100</v>
      </c>
      <c r="B19" s="6" t="s">
        <v>288</v>
      </c>
      <c r="C19" s="6" t="s">
        <v>282</v>
      </c>
      <c r="D19" s="6" t="s">
        <v>279</v>
      </c>
      <c r="E19" s="6" t="s">
        <v>280</v>
      </c>
    </row>
    <row r="20" spans="1:5" ht="15" x14ac:dyDescent="0.2">
      <c r="A20" s="6" t="s">
        <v>68</v>
      </c>
      <c r="B20" s="6" t="s">
        <v>269</v>
      </c>
      <c r="C20" s="6" t="s">
        <v>258</v>
      </c>
      <c r="D20" s="6" t="s">
        <v>259</v>
      </c>
      <c r="E20" s="6" t="s">
        <v>260</v>
      </c>
    </row>
    <row r="21" spans="1:5" ht="15" x14ac:dyDescent="0.2">
      <c r="A21" s="6" t="s">
        <v>289</v>
      </c>
      <c r="B21" s="6" t="s">
        <v>290</v>
      </c>
      <c r="C21" s="6" t="s">
        <v>282</v>
      </c>
      <c r="D21" s="6" t="s">
        <v>270</v>
      </c>
      <c r="E21" s="6" t="s">
        <v>271</v>
      </c>
    </row>
    <row r="22" spans="1:5" ht="15" x14ac:dyDescent="0.2">
      <c r="A22" s="6" t="s">
        <v>55</v>
      </c>
      <c r="B22" s="6" t="s">
        <v>291</v>
      </c>
      <c r="C22" s="6" t="s">
        <v>282</v>
      </c>
      <c r="D22" s="6" t="s">
        <v>262</v>
      </c>
      <c r="E22" s="6" t="s">
        <v>263</v>
      </c>
    </row>
    <row r="23" spans="1:5" ht="15" x14ac:dyDescent="0.2">
      <c r="A23" s="6" t="s">
        <v>149</v>
      </c>
      <c r="B23" s="6" t="s">
        <v>286</v>
      </c>
      <c r="C23" s="6" t="s">
        <v>282</v>
      </c>
      <c r="D23" s="6" t="s">
        <v>279</v>
      </c>
      <c r="E23" s="6" t="s">
        <v>280</v>
      </c>
    </row>
    <row r="24" spans="1:5" ht="15" x14ac:dyDescent="0.2">
      <c r="A24" s="6" t="s">
        <v>77</v>
      </c>
      <c r="B24" s="6" t="s">
        <v>292</v>
      </c>
      <c r="C24" s="6" t="s">
        <v>282</v>
      </c>
      <c r="D24" s="6" t="s">
        <v>262</v>
      </c>
      <c r="E24" s="6" t="s">
        <v>263</v>
      </c>
    </row>
    <row r="25" spans="1:5" ht="15" x14ac:dyDescent="0.2">
      <c r="A25" s="6" t="s">
        <v>118</v>
      </c>
      <c r="B25" s="6" t="s">
        <v>293</v>
      </c>
      <c r="C25" s="6" t="s">
        <v>254</v>
      </c>
      <c r="D25" s="6" t="s">
        <v>279</v>
      </c>
      <c r="E25" s="6" t="s">
        <v>280</v>
      </c>
    </row>
    <row r="26" spans="1:5" ht="15" x14ac:dyDescent="0.2">
      <c r="A26" s="6" t="s">
        <v>89</v>
      </c>
      <c r="B26" s="6" t="s">
        <v>287</v>
      </c>
      <c r="C26" s="6" t="s">
        <v>282</v>
      </c>
      <c r="D26" s="6" t="s">
        <v>279</v>
      </c>
      <c r="E26" s="6" t="s">
        <v>280</v>
      </c>
    </row>
    <row r="27" spans="1:5" ht="15" x14ac:dyDescent="0.2">
      <c r="A27" s="6" t="s">
        <v>132</v>
      </c>
      <c r="B27" s="6" t="s">
        <v>291</v>
      </c>
      <c r="C27" s="6" t="s">
        <v>282</v>
      </c>
      <c r="D27" s="6" t="s">
        <v>259</v>
      </c>
      <c r="E27" s="6" t="s">
        <v>260</v>
      </c>
    </row>
    <row r="28" spans="1:5" ht="15" x14ac:dyDescent="0.2">
      <c r="A28" s="6" t="s">
        <v>62</v>
      </c>
      <c r="B28" s="6" t="s">
        <v>294</v>
      </c>
      <c r="C28" s="6" t="s">
        <v>282</v>
      </c>
      <c r="D28" s="6" t="s">
        <v>259</v>
      </c>
      <c r="E28" s="6" t="s">
        <v>260</v>
      </c>
    </row>
    <row r="29" spans="1:5" ht="15" x14ac:dyDescent="0.2">
      <c r="A29" s="6" t="s">
        <v>95</v>
      </c>
      <c r="B29" s="6" t="s">
        <v>295</v>
      </c>
      <c r="C29" s="6" t="s">
        <v>254</v>
      </c>
      <c r="D29" s="6" t="s">
        <v>262</v>
      </c>
      <c r="E29" s="6" t="s">
        <v>263</v>
      </c>
    </row>
    <row r="30" spans="1:5" ht="15" x14ac:dyDescent="0.2">
      <c r="A30" s="6" t="s">
        <v>57</v>
      </c>
      <c r="B30" s="6" t="s">
        <v>285</v>
      </c>
      <c r="C30" s="6" t="s">
        <v>282</v>
      </c>
      <c r="D30" s="6" t="s">
        <v>279</v>
      </c>
      <c r="E30" s="6" t="s">
        <v>280</v>
      </c>
    </row>
    <row r="31" spans="1:5" ht="15" x14ac:dyDescent="0.2">
      <c r="A31" s="6" t="s">
        <v>296</v>
      </c>
      <c r="B31" s="6" t="s">
        <v>287</v>
      </c>
      <c r="C31" s="6" t="s">
        <v>282</v>
      </c>
      <c r="D31" s="6" t="s">
        <v>259</v>
      </c>
      <c r="E31" s="6" t="s">
        <v>260</v>
      </c>
    </row>
    <row r="32" spans="1:5" ht="15" x14ac:dyDescent="0.2">
      <c r="A32" s="6" t="s">
        <v>184</v>
      </c>
      <c r="B32" s="6" t="s">
        <v>297</v>
      </c>
      <c r="C32" s="6" t="s">
        <v>254</v>
      </c>
      <c r="D32" s="6" t="s">
        <v>259</v>
      </c>
      <c r="E32" s="6" t="s">
        <v>260</v>
      </c>
    </row>
    <row r="33" spans="1:5" ht="15" x14ac:dyDescent="0.2">
      <c r="A33" s="6" t="s">
        <v>113</v>
      </c>
      <c r="B33" s="6" t="s">
        <v>298</v>
      </c>
      <c r="C33" s="6" t="s">
        <v>254</v>
      </c>
      <c r="D33" s="6" t="s">
        <v>262</v>
      </c>
      <c r="E33" s="6" t="s">
        <v>263</v>
      </c>
    </row>
    <row r="34" spans="1:5" ht="15" x14ac:dyDescent="0.2">
      <c r="A34" s="6" t="s">
        <v>79</v>
      </c>
      <c r="B34" s="6" t="s">
        <v>299</v>
      </c>
      <c r="C34" s="6" t="s">
        <v>254</v>
      </c>
      <c r="D34" s="6" t="s">
        <v>283</v>
      </c>
      <c r="E34" s="6" t="s">
        <v>284</v>
      </c>
    </row>
    <row r="35" spans="1:5" ht="15" x14ac:dyDescent="0.2">
      <c r="A35" s="6" t="s">
        <v>194</v>
      </c>
      <c r="B35" s="6" t="s">
        <v>300</v>
      </c>
      <c r="C35" s="6" t="s">
        <v>282</v>
      </c>
      <c r="D35" s="6" t="s">
        <v>283</v>
      </c>
      <c r="E35" s="6" t="s">
        <v>284</v>
      </c>
    </row>
    <row r="36" spans="1:5" ht="15" x14ac:dyDescent="0.2">
      <c r="A36" s="6" t="s">
        <v>147</v>
      </c>
      <c r="B36" s="6" t="s">
        <v>301</v>
      </c>
      <c r="C36" s="6" t="s">
        <v>254</v>
      </c>
      <c r="D36" s="6" t="s">
        <v>279</v>
      </c>
      <c r="E36" s="6" t="s">
        <v>280</v>
      </c>
    </row>
    <row r="37" spans="1:5" ht="15" x14ac:dyDescent="0.2">
      <c r="A37" s="6" t="s">
        <v>187</v>
      </c>
      <c r="B37" s="6" t="s">
        <v>261</v>
      </c>
      <c r="C37" s="6" t="s">
        <v>254</v>
      </c>
      <c r="D37" s="6" t="s">
        <v>270</v>
      </c>
      <c r="E37" s="6" t="s">
        <v>271</v>
      </c>
    </row>
    <row r="38" spans="1:5" ht="15" x14ac:dyDescent="0.2">
      <c r="A38" s="6" t="s">
        <v>109</v>
      </c>
      <c r="B38" s="6" t="s">
        <v>257</v>
      </c>
      <c r="C38" s="6" t="s">
        <v>282</v>
      </c>
      <c r="D38" s="6" t="s">
        <v>279</v>
      </c>
      <c r="E38" s="6" t="s">
        <v>280</v>
      </c>
    </row>
    <row r="39" spans="1:5" ht="15" x14ac:dyDescent="0.2">
      <c r="A39" s="6" t="s">
        <v>302</v>
      </c>
      <c r="B39" s="6" t="s">
        <v>303</v>
      </c>
      <c r="C39" s="6" t="s">
        <v>254</v>
      </c>
      <c r="D39" s="6" t="s">
        <v>262</v>
      </c>
      <c r="E39" s="6" t="s">
        <v>263</v>
      </c>
    </row>
    <row r="40" spans="1:5" ht="15" x14ac:dyDescent="0.2">
      <c r="A40" s="6" t="s">
        <v>128</v>
      </c>
      <c r="B40" s="6" t="s">
        <v>304</v>
      </c>
      <c r="C40" s="6" t="s">
        <v>282</v>
      </c>
      <c r="D40" s="6" t="s">
        <v>262</v>
      </c>
      <c r="E40" s="6" t="s">
        <v>263</v>
      </c>
    </row>
    <row r="41" spans="1:5" ht="15" x14ac:dyDescent="0.2">
      <c r="A41" s="6" t="s">
        <v>97</v>
      </c>
      <c r="B41" s="6" t="s">
        <v>305</v>
      </c>
      <c r="C41" s="6" t="s">
        <v>258</v>
      </c>
      <c r="D41" s="6" t="s">
        <v>262</v>
      </c>
      <c r="E41" s="6" t="s">
        <v>263</v>
      </c>
    </row>
    <row r="42" spans="1:5" ht="15" x14ac:dyDescent="0.2">
      <c r="A42" s="6" t="s">
        <v>87</v>
      </c>
      <c r="B42" s="6" t="s">
        <v>306</v>
      </c>
      <c r="C42" s="6" t="s">
        <v>254</v>
      </c>
      <c r="D42" s="6" t="s">
        <v>262</v>
      </c>
      <c r="E42" s="6" t="s">
        <v>263</v>
      </c>
    </row>
    <row r="43" spans="1:5" ht="15" x14ac:dyDescent="0.2">
      <c r="A43" s="6" t="s">
        <v>66</v>
      </c>
      <c r="B43" s="6" t="s">
        <v>264</v>
      </c>
      <c r="C43" s="6" t="s">
        <v>258</v>
      </c>
      <c r="D43" s="6" t="s">
        <v>262</v>
      </c>
      <c r="E43" s="6" t="s">
        <v>263</v>
      </c>
    </row>
    <row r="44" spans="1:5" ht="15" x14ac:dyDescent="0.2">
      <c r="A44" s="6" t="s">
        <v>179</v>
      </c>
      <c r="B44" s="6" t="s">
        <v>307</v>
      </c>
      <c r="C44" s="6" t="s">
        <v>282</v>
      </c>
      <c r="D44" s="6" t="s">
        <v>259</v>
      </c>
      <c r="E44" s="6" t="s">
        <v>260</v>
      </c>
    </row>
    <row r="45" spans="1:5" ht="15" x14ac:dyDescent="0.2">
      <c r="A45" s="6" t="s">
        <v>60</v>
      </c>
      <c r="B45" s="6" t="s">
        <v>308</v>
      </c>
      <c r="C45" s="6" t="s">
        <v>254</v>
      </c>
      <c r="D45" s="6" t="s">
        <v>283</v>
      </c>
      <c r="E45" s="6" t="s">
        <v>284</v>
      </c>
    </row>
    <row r="46" spans="1:5" ht="15" x14ac:dyDescent="0.2">
      <c r="A46" s="6" t="s">
        <v>75</v>
      </c>
      <c r="B46" s="6" t="s">
        <v>257</v>
      </c>
      <c r="C46" s="6" t="s">
        <v>282</v>
      </c>
      <c r="D46" s="6" t="s">
        <v>262</v>
      </c>
      <c r="E46" s="6" t="s">
        <v>263</v>
      </c>
    </row>
    <row r="47" spans="1:5" ht="15" x14ac:dyDescent="0.2">
      <c r="A47" s="6" t="s">
        <v>73</v>
      </c>
      <c r="B47" s="6" t="s">
        <v>257</v>
      </c>
      <c r="C47" s="6" t="s">
        <v>258</v>
      </c>
      <c r="D47" s="6" t="s">
        <v>270</v>
      </c>
      <c r="E47" s="6" t="s">
        <v>271</v>
      </c>
    </row>
    <row r="48" spans="1:5" ht="15" x14ac:dyDescent="0.2">
      <c r="A48" s="6" t="s">
        <v>82</v>
      </c>
      <c r="B48" s="6" t="s">
        <v>293</v>
      </c>
      <c r="C48" s="6" t="s">
        <v>282</v>
      </c>
      <c r="D48" s="6" t="s">
        <v>270</v>
      </c>
      <c r="E48" s="6" t="s">
        <v>271</v>
      </c>
    </row>
    <row r="49" spans="1:5" ht="15" x14ac:dyDescent="0.2">
      <c r="A49" s="6" t="s">
        <v>153</v>
      </c>
      <c r="B49" s="6" t="s">
        <v>264</v>
      </c>
      <c r="C49" s="6" t="s">
        <v>254</v>
      </c>
      <c r="D49" s="6" t="s">
        <v>270</v>
      </c>
      <c r="E49" s="6" t="s">
        <v>271</v>
      </c>
    </row>
    <row r="50" spans="1:5" ht="15" x14ac:dyDescent="0.2">
      <c r="A50" s="6" t="s">
        <v>309</v>
      </c>
      <c r="B50" s="6" t="s">
        <v>310</v>
      </c>
      <c r="C50" s="6" t="s">
        <v>254</v>
      </c>
      <c r="D50" s="6" t="s">
        <v>270</v>
      </c>
      <c r="E50" s="6" t="s">
        <v>271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CCEE-9F54-4E4C-9698-2626E01BEF0C}">
  <dimension ref="A1:AR29"/>
  <sheetViews>
    <sheetView showGridLines="0" tabSelected="1" topLeftCell="M26" workbookViewId="0">
      <selection sqref="A1:V6"/>
    </sheetView>
  </sheetViews>
  <sheetFormatPr defaultRowHeight="14.25" x14ac:dyDescent="0.2"/>
  <cols>
    <col min="1" max="31" width="9" style="14"/>
    <col min="32" max="32" width="20.25" style="14" bestFit="1" customWidth="1"/>
    <col min="33" max="33" width="9" style="14"/>
    <col min="34" max="34" width="16.5" style="14" customWidth="1"/>
    <col min="35" max="35" width="16.25" style="14" customWidth="1"/>
    <col min="36" max="36" width="3" style="14" customWidth="1"/>
    <col min="37" max="37" width="5" style="14" customWidth="1"/>
    <col min="38" max="38" width="11.25" style="14" customWidth="1"/>
    <col min="39" max="42" width="9" style="14"/>
    <col min="43" max="43" width="13.625" style="14" bestFit="1" customWidth="1"/>
    <col min="44" max="44" width="20.25" style="14" bestFit="1" customWidth="1"/>
    <col min="45" max="45" width="9" style="14"/>
    <col min="46" max="46" width="13" style="14" customWidth="1"/>
    <col min="47" max="47" width="19.75" style="14" customWidth="1"/>
    <col min="48" max="48" width="13" style="14" customWidth="1"/>
    <col min="49" max="16384" width="9" style="14"/>
  </cols>
  <sheetData>
    <row r="1" spans="1:32" x14ac:dyDescent="0.2">
      <c r="A1" s="20" t="s">
        <v>330</v>
      </c>
      <c r="B1" s="21"/>
      <c r="C1" s="21"/>
      <c r="D1" s="21"/>
      <c r="E1" s="21"/>
      <c r="F1" s="21"/>
      <c r="G1" s="21"/>
      <c r="H1" s="21"/>
      <c r="I1" s="21"/>
      <c r="J1" s="21"/>
      <c r="K1" s="21"/>
      <c r="L1" s="21"/>
      <c r="M1" s="21"/>
      <c r="N1" s="21"/>
      <c r="O1" s="21"/>
      <c r="P1" s="21"/>
      <c r="Q1" s="21"/>
      <c r="R1" s="21"/>
      <c r="S1" s="21"/>
      <c r="T1" s="21"/>
      <c r="U1" s="21"/>
      <c r="V1" s="21"/>
    </row>
    <row r="2" spans="1:32" x14ac:dyDescent="0.2">
      <c r="A2" s="21"/>
      <c r="B2" s="21"/>
      <c r="C2" s="21"/>
      <c r="D2" s="21"/>
      <c r="E2" s="21"/>
      <c r="F2" s="21"/>
      <c r="G2" s="21"/>
      <c r="H2" s="21"/>
      <c r="I2" s="21"/>
      <c r="J2" s="21"/>
      <c r="K2" s="21"/>
      <c r="L2" s="21"/>
      <c r="M2" s="21"/>
      <c r="N2" s="21"/>
      <c r="O2" s="21"/>
      <c r="P2" s="21"/>
      <c r="Q2" s="21"/>
      <c r="R2" s="21"/>
      <c r="S2" s="21"/>
      <c r="T2" s="21"/>
      <c r="U2" s="21"/>
      <c r="V2" s="21"/>
    </row>
    <row r="3" spans="1:32" x14ac:dyDescent="0.2">
      <c r="A3" s="21"/>
      <c r="B3" s="21"/>
      <c r="C3" s="21"/>
      <c r="D3" s="21"/>
      <c r="E3" s="21"/>
      <c r="F3" s="21"/>
      <c r="G3" s="21"/>
      <c r="H3" s="21"/>
      <c r="I3" s="21"/>
      <c r="J3" s="21"/>
      <c r="K3" s="21"/>
      <c r="L3" s="21"/>
      <c r="M3" s="21"/>
      <c r="N3" s="21"/>
      <c r="O3" s="21"/>
      <c r="P3" s="21"/>
      <c r="Q3" s="21"/>
      <c r="R3" s="21"/>
      <c r="S3" s="21"/>
      <c r="T3" s="21"/>
      <c r="U3" s="21"/>
      <c r="V3" s="21"/>
    </row>
    <row r="4" spans="1:32" x14ac:dyDescent="0.2">
      <c r="A4" s="21"/>
      <c r="B4" s="21"/>
      <c r="C4" s="21"/>
      <c r="D4" s="21"/>
      <c r="E4" s="21"/>
      <c r="F4" s="21"/>
      <c r="G4" s="21"/>
      <c r="H4" s="21"/>
      <c r="I4" s="21"/>
      <c r="J4" s="21"/>
      <c r="K4" s="21"/>
      <c r="L4" s="21"/>
      <c r="M4" s="21"/>
      <c r="N4" s="21"/>
      <c r="O4" s="21"/>
      <c r="P4" s="21"/>
      <c r="Q4" s="21"/>
      <c r="R4" s="21"/>
      <c r="S4" s="21"/>
      <c r="T4" s="21"/>
      <c r="U4" s="21"/>
      <c r="V4" s="21"/>
    </row>
    <row r="5" spans="1:32" x14ac:dyDescent="0.2">
      <c r="A5" s="21"/>
      <c r="B5" s="21"/>
      <c r="C5" s="21"/>
      <c r="D5" s="21"/>
      <c r="E5" s="21"/>
      <c r="F5" s="21"/>
      <c r="G5" s="21"/>
      <c r="H5" s="21"/>
      <c r="I5" s="21"/>
      <c r="J5" s="21"/>
      <c r="K5" s="21"/>
      <c r="L5" s="21"/>
      <c r="M5" s="21"/>
      <c r="N5" s="21"/>
      <c r="O5" s="21"/>
      <c r="P5" s="21"/>
      <c r="Q5" s="21"/>
      <c r="R5" s="21"/>
      <c r="S5" s="21"/>
      <c r="T5" s="21"/>
      <c r="U5" s="21"/>
      <c r="V5" s="21"/>
      <c r="Y5" s="15"/>
    </row>
    <row r="6" spans="1:32" x14ac:dyDescent="0.2">
      <c r="A6" s="21"/>
      <c r="B6" s="21"/>
      <c r="C6" s="21"/>
      <c r="D6" s="21"/>
      <c r="E6" s="21"/>
      <c r="F6" s="21"/>
      <c r="G6" s="21"/>
      <c r="H6" s="21"/>
      <c r="I6" s="21"/>
      <c r="J6" s="21"/>
      <c r="K6" s="21"/>
      <c r="L6" s="21"/>
      <c r="M6" s="21"/>
      <c r="N6" s="21"/>
      <c r="O6" s="21"/>
      <c r="P6" s="21"/>
      <c r="Q6" s="21"/>
      <c r="R6" s="21"/>
      <c r="S6" s="21"/>
      <c r="T6" s="21"/>
      <c r="U6" s="21"/>
      <c r="V6" s="21"/>
    </row>
    <row r="16" spans="1:32" x14ac:dyDescent="0.2">
      <c r="AF16" s="14" t="s">
        <v>316</v>
      </c>
    </row>
    <row r="17" spans="26:44" x14ac:dyDescent="0.2">
      <c r="AF17" s="26">
        <v>33071</v>
      </c>
    </row>
    <row r="19" spans="26:44" x14ac:dyDescent="0.2">
      <c r="AQ19" s="14" t="s">
        <v>314</v>
      </c>
      <c r="AR19" s="14" t="s">
        <v>316</v>
      </c>
    </row>
    <row r="20" spans="26:44" x14ac:dyDescent="0.2">
      <c r="AQ20" s="16" t="s">
        <v>30</v>
      </c>
      <c r="AR20" s="26">
        <v>5456</v>
      </c>
    </row>
    <row r="21" spans="26:44" x14ac:dyDescent="0.2">
      <c r="AQ21" s="16" t="s">
        <v>17</v>
      </c>
      <c r="AR21" s="26">
        <v>3635</v>
      </c>
    </row>
    <row r="22" spans="26:44" x14ac:dyDescent="0.2">
      <c r="AQ22" s="16" t="s">
        <v>12</v>
      </c>
      <c r="AR22" s="26">
        <v>9344</v>
      </c>
    </row>
    <row r="23" spans="26:44" x14ac:dyDescent="0.2">
      <c r="AQ23" s="16" t="s">
        <v>21</v>
      </c>
      <c r="AR23" s="26">
        <v>7317</v>
      </c>
    </row>
    <row r="24" spans="26:44" x14ac:dyDescent="0.2">
      <c r="AG24" s="14" t="s">
        <v>346</v>
      </c>
      <c r="AI24" s="14" t="s">
        <v>317</v>
      </c>
      <c r="AQ24" s="16" t="s">
        <v>33</v>
      </c>
      <c r="AR24" s="26">
        <v>7319</v>
      </c>
    </row>
    <row r="25" spans="26:44" ht="25.5" x14ac:dyDescent="0.35">
      <c r="Z25" s="17"/>
      <c r="AI25" s="14" t="s">
        <v>324</v>
      </c>
      <c r="AJ25" s="14" t="s">
        <v>325</v>
      </c>
      <c r="AK25" s="14" t="s">
        <v>326</v>
      </c>
      <c r="AL25" s="14" t="s">
        <v>315</v>
      </c>
      <c r="AM25" s="14" t="s">
        <v>327</v>
      </c>
      <c r="AQ25" s="16" t="s">
        <v>315</v>
      </c>
      <c r="AR25" s="26">
        <v>33071</v>
      </c>
    </row>
    <row r="26" spans="26:44" ht="27" x14ac:dyDescent="0.35">
      <c r="Z26" s="18" t="s">
        <v>348</v>
      </c>
      <c r="AA26" s="18"/>
      <c r="AB26" s="18"/>
      <c r="AH26" s="14" t="s">
        <v>319</v>
      </c>
      <c r="AI26" s="14">
        <v>11</v>
      </c>
      <c r="AJ26" s="14">
        <v>66</v>
      </c>
      <c r="AK26" s="14">
        <v>23</v>
      </c>
      <c r="AL26" s="14">
        <v>100</v>
      </c>
      <c r="AM26" s="19">
        <f>AI26/(AI26+AK26)</f>
        <v>0.3235294117647059</v>
      </c>
    </row>
    <row r="27" spans="26:44" ht="27" x14ac:dyDescent="0.35">
      <c r="Z27" s="18" t="str">
        <f>AQ20</f>
        <v>Central</v>
      </c>
    </row>
    <row r="28" spans="26:44" ht="27" x14ac:dyDescent="0.35">
      <c r="Z28" s="18" t="str">
        <f>AQ21</f>
        <v>East</v>
      </c>
    </row>
    <row r="29" spans="26:44" ht="27" x14ac:dyDescent="0.35">
      <c r="Z29" s="18" t="str">
        <f>AQ22</f>
        <v>North</v>
      </c>
    </row>
  </sheetData>
  <mergeCells count="1">
    <mergeCell ref="A1:V6"/>
  </mergeCells>
  <pageMargins left="0.7" right="0.7" top="0.75" bottom="0.75" header="0.3" footer="0.3"/>
  <pageSetup paperSize="9" orientation="portrait" verticalDpi="0" r:id="rId4"/>
  <drawing r:id="rId5"/>
  <extLst>
    <ext xmlns:x14="http://schemas.microsoft.com/office/spreadsheetml/2009/9/main" uri="{A8765BA9-456A-4dab-B4F3-ACF838C121DE}">
      <x14:slicerList>
        <x14:slicer r:id="rId6"/>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47ED-33BE-4DB4-B05B-78BF78AD652F}">
  <dimension ref="A1:R5"/>
  <sheetViews>
    <sheetView showGridLines="0" topLeftCell="B5" workbookViewId="0">
      <selection activeCell="F26" sqref="F26"/>
    </sheetView>
  </sheetViews>
  <sheetFormatPr defaultRowHeight="14.25" x14ac:dyDescent="0.2"/>
  <sheetData>
    <row r="1" spans="1:18" x14ac:dyDescent="0.2">
      <c r="A1" s="24" t="s">
        <v>359</v>
      </c>
      <c r="B1" s="24"/>
      <c r="C1" s="24"/>
      <c r="D1" s="24"/>
      <c r="E1" s="24"/>
      <c r="F1" s="24"/>
      <c r="G1" s="24"/>
      <c r="H1" s="24"/>
      <c r="I1" s="24"/>
      <c r="J1" s="24"/>
      <c r="K1" s="24"/>
      <c r="L1" s="24"/>
      <c r="M1" s="24"/>
      <c r="N1" s="24"/>
      <c r="O1" s="24"/>
      <c r="P1" s="24"/>
      <c r="Q1" s="24"/>
      <c r="R1" s="24"/>
    </row>
    <row r="2" spans="1:18" x14ac:dyDescent="0.2">
      <c r="A2" s="24"/>
      <c r="B2" s="24"/>
      <c r="C2" s="24"/>
      <c r="D2" s="24"/>
      <c r="E2" s="24"/>
      <c r="F2" s="24"/>
      <c r="G2" s="24"/>
      <c r="H2" s="24"/>
      <c r="I2" s="24"/>
      <c r="J2" s="24"/>
      <c r="K2" s="24"/>
      <c r="L2" s="24"/>
      <c r="M2" s="24"/>
      <c r="N2" s="24"/>
      <c r="O2" s="24"/>
      <c r="P2" s="24"/>
      <c r="Q2" s="24"/>
      <c r="R2" s="24"/>
    </row>
    <row r="3" spans="1:18" x14ac:dyDescent="0.2">
      <c r="A3" s="24"/>
      <c r="B3" s="24"/>
      <c r="C3" s="24"/>
      <c r="D3" s="24"/>
      <c r="E3" s="24"/>
      <c r="F3" s="24"/>
      <c r="G3" s="24"/>
      <c r="H3" s="24"/>
      <c r="I3" s="24"/>
      <c r="J3" s="24"/>
      <c r="K3" s="24"/>
      <c r="L3" s="24"/>
      <c r="M3" s="24"/>
      <c r="N3" s="24"/>
      <c r="O3" s="24"/>
      <c r="P3" s="24"/>
      <c r="Q3" s="24"/>
      <c r="R3" s="24"/>
    </row>
    <row r="4" spans="1:18" x14ac:dyDescent="0.2">
      <c r="A4" s="24"/>
      <c r="B4" s="24"/>
      <c r="C4" s="24"/>
      <c r="D4" s="24"/>
      <c r="E4" s="24"/>
      <c r="F4" s="24"/>
      <c r="G4" s="24"/>
      <c r="H4" s="24"/>
      <c r="I4" s="24"/>
      <c r="J4" s="24"/>
      <c r="K4" s="24"/>
      <c r="L4" s="24"/>
      <c r="M4" s="24"/>
      <c r="N4" s="24"/>
      <c r="O4" s="24"/>
      <c r="P4" s="24"/>
      <c r="Q4" s="24"/>
      <c r="R4" s="24"/>
    </row>
    <row r="5" spans="1:18" x14ac:dyDescent="0.2">
      <c r="A5" s="24"/>
      <c r="B5" s="24"/>
      <c r="C5" s="24"/>
      <c r="D5" s="24"/>
      <c r="E5" s="24"/>
      <c r="F5" s="24"/>
      <c r="G5" s="24"/>
      <c r="H5" s="24"/>
      <c r="I5" s="24"/>
      <c r="J5" s="24"/>
      <c r="K5" s="24"/>
      <c r="L5" s="24"/>
      <c r="M5" s="24"/>
      <c r="N5" s="24"/>
      <c r="O5" s="24"/>
      <c r="P5" s="24"/>
      <c r="Q5" s="24"/>
      <c r="R5" s="24"/>
    </row>
  </sheetData>
  <mergeCells count="1">
    <mergeCell ref="A1:R5"/>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EB5A-AFAF-4953-B3B7-D49077368A91}">
  <dimension ref="A1:U20"/>
  <sheetViews>
    <sheetView showGridLines="0" workbookViewId="0">
      <selection activeCell="H20" sqref="H20"/>
    </sheetView>
  </sheetViews>
  <sheetFormatPr defaultRowHeight="14.25" x14ac:dyDescent="0.2"/>
  <sheetData>
    <row r="1" spans="1:21" x14ac:dyDescent="0.2">
      <c r="A1" s="22" t="s">
        <v>349</v>
      </c>
      <c r="B1" s="23"/>
      <c r="C1" s="23"/>
      <c r="D1" s="23"/>
      <c r="E1" s="23"/>
      <c r="F1" s="23"/>
      <c r="G1" s="23"/>
      <c r="H1" s="23"/>
      <c r="I1" s="23"/>
      <c r="J1" s="23"/>
      <c r="K1" s="23"/>
      <c r="L1" s="23"/>
      <c r="M1" s="23"/>
      <c r="N1" s="23"/>
      <c r="O1" s="23"/>
      <c r="P1" s="23"/>
      <c r="Q1" s="23"/>
      <c r="R1" s="23"/>
      <c r="S1" s="23"/>
      <c r="T1" s="23"/>
      <c r="U1" s="23"/>
    </row>
    <row r="2" spans="1:21" x14ac:dyDescent="0.2">
      <c r="A2" s="23"/>
      <c r="B2" s="23"/>
      <c r="C2" s="23"/>
      <c r="D2" s="23"/>
      <c r="E2" s="23"/>
      <c r="F2" s="23"/>
      <c r="G2" s="23"/>
      <c r="H2" s="23"/>
      <c r="I2" s="23"/>
      <c r="J2" s="23"/>
      <c r="K2" s="23"/>
      <c r="L2" s="23"/>
      <c r="M2" s="23"/>
      <c r="N2" s="23"/>
      <c r="O2" s="23"/>
      <c r="P2" s="23"/>
      <c r="Q2" s="23"/>
      <c r="R2" s="23"/>
      <c r="S2" s="23"/>
      <c r="T2" s="23"/>
      <c r="U2" s="23"/>
    </row>
    <row r="3" spans="1:21" x14ac:dyDescent="0.2">
      <c r="A3" s="23"/>
      <c r="B3" s="23"/>
      <c r="C3" s="23"/>
      <c r="D3" s="23"/>
      <c r="E3" s="23"/>
      <c r="F3" s="23"/>
      <c r="G3" s="23"/>
      <c r="H3" s="23"/>
      <c r="I3" s="23"/>
      <c r="J3" s="23"/>
      <c r="K3" s="23"/>
      <c r="L3" s="23"/>
      <c r="M3" s="23"/>
      <c r="N3" s="23"/>
      <c r="O3" s="23"/>
      <c r="P3" s="23"/>
      <c r="Q3" s="23"/>
      <c r="R3" s="23"/>
      <c r="S3" s="23"/>
      <c r="T3" s="23"/>
      <c r="U3" s="23"/>
    </row>
    <row r="4" spans="1:21" x14ac:dyDescent="0.2">
      <c r="A4" s="23"/>
      <c r="B4" s="23"/>
      <c r="C4" s="23"/>
      <c r="D4" s="23"/>
      <c r="E4" s="23"/>
      <c r="F4" s="23"/>
      <c r="G4" s="23"/>
      <c r="H4" s="23"/>
      <c r="I4" s="23"/>
      <c r="J4" s="23"/>
      <c r="K4" s="23"/>
      <c r="L4" s="23"/>
      <c r="M4" s="23"/>
      <c r="N4" s="23"/>
      <c r="O4" s="23"/>
      <c r="P4" s="23"/>
      <c r="Q4" s="23"/>
      <c r="R4" s="23"/>
      <c r="S4" s="23"/>
      <c r="T4" s="23"/>
      <c r="U4" s="23"/>
    </row>
    <row r="5" spans="1:21" x14ac:dyDescent="0.2">
      <c r="A5" s="23"/>
      <c r="B5" s="23"/>
      <c r="C5" s="23"/>
      <c r="D5" s="23"/>
      <c r="E5" s="23"/>
      <c r="F5" s="23"/>
      <c r="G5" s="23"/>
      <c r="H5" s="23"/>
      <c r="I5" s="23"/>
      <c r="J5" s="23"/>
      <c r="K5" s="23"/>
      <c r="L5" s="23"/>
      <c r="M5" s="23"/>
      <c r="N5" s="23"/>
      <c r="O5" s="23"/>
      <c r="P5" s="23"/>
      <c r="Q5" s="23"/>
      <c r="R5" s="23"/>
      <c r="S5" s="23"/>
      <c r="T5" s="23"/>
      <c r="U5" s="23"/>
    </row>
    <row r="7" spans="1:21" x14ac:dyDescent="0.2">
      <c r="A7" t="s">
        <v>350</v>
      </c>
    </row>
    <row r="8" spans="1:21" x14ac:dyDescent="0.2">
      <c r="A8" t="s">
        <v>351</v>
      </c>
    </row>
    <row r="10" spans="1:21" x14ac:dyDescent="0.2">
      <c r="A10" t="s">
        <v>352</v>
      </c>
    </row>
    <row r="11" spans="1:21" x14ac:dyDescent="0.2">
      <c r="A11" t="s">
        <v>353</v>
      </c>
    </row>
    <row r="13" spans="1:21" x14ac:dyDescent="0.2">
      <c r="A13" t="s">
        <v>354</v>
      </c>
    </row>
    <row r="14" spans="1:21" x14ac:dyDescent="0.2">
      <c r="A14">
        <v>11</v>
      </c>
    </row>
    <row r="16" spans="1:21" x14ac:dyDescent="0.2">
      <c r="A16" t="s">
        <v>355</v>
      </c>
    </row>
    <row r="17" spans="1:1" x14ac:dyDescent="0.2">
      <c r="A17" t="s">
        <v>356</v>
      </c>
    </row>
    <row r="19" spans="1:1" x14ac:dyDescent="0.2">
      <c r="A19" t="s">
        <v>357</v>
      </c>
    </row>
    <row r="20" spans="1:1" x14ac:dyDescent="0.2">
      <c r="A20" t="s">
        <v>358</v>
      </c>
    </row>
  </sheetData>
  <mergeCells count="1">
    <mergeCell ref="A1:U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2.1</vt:lpstr>
      <vt:lpstr>2.3</vt:lpstr>
      <vt:lpstr>2,2</vt:lpstr>
      <vt:lpstr>4.1</vt:lpstr>
      <vt:lpstr>4.2</vt:lpstr>
      <vt:lpstr>total revenue</vt:lpstr>
      <vt:lpstr>% fast delivery</vt:lpstr>
      <vt:lpstr>Detail1</vt:lpstr>
      <vt:lpstr>top 3</vt:lpstr>
      <vt:lpstr>highest selling</vt:lpstr>
      <vt:lpstr>Sheet1</vt:lpstr>
      <vt:lpstr>Sheet8</vt:lpstr>
      <vt:lpstr>SHEET 2</vt:lpstr>
      <vt:lpstr>Product Master</vt:lpstr>
      <vt:lpstr>Sheet4</vt:lpstr>
      <vt:lpstr>Sheet6</vt:lpstr>
      <vt:lpstr>Sheet2</vt:lpstr>
      <vt:lpstr>5.3</vt:lpstr>
      <vt:lpstr>Sheet3</vt:lpstr>
      <vt:lpstr>Sheet9</vt:lpstr>
      <vt:lpstr>Orders</vt:lpstr>
      <vt:lpstr>Region Master</vt:lpstr>
      <vt:lpstr>Customer Master</vt:lpstr>
      <vt:lpstr>DASHBOARD</vt:lpstr>
      <vt:lpstr>Sheet7</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Abhay Sharma</cp:lastModifiedBy>
  <dcterms:created xsi:type="dcterms:W3CDTF">2015-06-05T18:17:20Z</dcterms:created>
  <dcterms:modified xsi:type="dcterms:W3CDTF">2026-06-11T20:47:32Z</dcterms:modified>
</cp:coreProperties>
</file>